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cd3894ee2132101/Documents/"/>
    </mc:Choice>
  </mc:AlternateContent>
  <xr:revisionPtr revIDLastSave="508" documentId="8_{01F507C8-B5C0-4F1B-8BA9-C541237BC9D3}" xr6:coauthVersionLast="47" xr6:coauthVersionMax="47" xr10:uidLastSave="{63D46D5F-577F-49E1-8311-E89DE88523EC}"/>
  <bookViews>
    <workbookView xWindow="-108" yWindow="-108" windowWidth="23256" windowHeight="12456" xr2:uid="{D69DA9B3-2404-498E-8B9F-DCA589EBAC0F}"/>
  </bookViews>
  <sheets>
    <sheet name="Sheet4" sheetId="4" r:id="rId1"/>
  </sheets>
  <functionGroups builtInGroupCount="19"/>
  <definedNames>
    <definedName name="_xleta.AVERAGE" hidden="1" xlm="1">#NAME?</definedName>
    <definedName name="_xleta.SQR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6" i="4" l="1"/>
  <c r="AF125" i="4"/>
  <c r="AF124" i="4"/>
  <c r="AE125" i="4"/>
  <c r="AE126" i="4"/>
  <c r="AE124" i="4"/>
  <c r="AD101" i="4"/>
  <c r="AG101" i="4"/>
  <c r="AK115" i="4"/>
  <c r="AK114" i="4"/>
  <c r="AK113" i="4"/>
  <c r="AK112" i="4"/>
  <c r="AK111" i="4"/>
  <c r="AK110" i="4"/>
  <c r="AK109" i="4"/>
  <c r="AK108" i="4"/>
  <c r="AK107" i="4"/>
  <c r="AK106" i="4"/>
  <c r="AK105" i="4"/>
  <c r="AK104" i="4"/>
  <c r="AK103" i="4"/>
  <c r="AK102" i="4"/>
  <c r="AK100" i="4"/>
  <c r="AK99" i="4"/>
  <c r="AG115" i="4"/>
  <c r="AG114" i="4"/>
  <c r="AG113" i="4"/>
  <c r="AG112" i="4"/>
  <c r="AG111" i="4"/>
  <c r="AG110" i="4"/>
  <c r="AG109" i="4"/>
  <c r="AG108" i="4"/>
  <c r="AG107" i="4"/>
  <c r="AG106" i="4"/>
  <c r="AG105" i="4"/>
  <c r="AG104" i="4"/>
  <c r="AG103" i="4"/>
  <c r="AG102" i="4"/>
  <c r="AG100" i="4"/>
  <c r="AG99" i="4"/>
  <c r="AD115" i="4"/>
  <c r="AD114" i="4"/>
  <c r="AD110" i="4"/>
  <c r="AD111" i="4"/>
  <c r="AD112" i="4"/>
  <c r="AD113" i="4"/>
  <c r="AD109" i="4"/>
  <c r="AD108" i="4"/>
  <c r="AD107" i="4"/>
  <c r="AD106" i="4"/>
  <c r="AD105" i="4"/>
  <c r="AD104" i="4"/>
  <c r="AD103" i="4"/>
  <c r="AD102" i="4"/>
  <c r="AD100" i="4"/>
  <c r="AD99" i="4"/>
  <c r="AA113" i="4"/>
  <c r="AA114" i="4"/>
  <c r="AA115" i="4"/>
  <c r="AA111" i="4"/>
  <c r="AA112" i="4"/>
  <c r="AA101" i="4"/>
  <c r="AA102" i="4"/>
  <c r="AA103" i="4"/>
  <c r="AA104" i="4"/>
  <c r="AA105" i="4"/>
  <c r="AA106" i="4"/>
  <c r="AA107" i="4"/>
  <c r="AA108" i="4"/>
  <c r="AA109" i="4"/>
  <c r="AA110" i="4"/>
  <c r="AA100" i="4"/>
  <c r="AA99" i="4"/>
  <c r="AA72" i="4"/>
  <c r="AA71" i="4"/>
  <c r="AA70" i="4"/>
  <c r="AA69" i="4"/>
  <c r="AA68" i="4"/>
  <c r="AA67" i="4"/>
  <c r="AA73" i="4"/>
  <c r="AA33" i="4"/>
  <c r="AA25" i="4"/>
  <c r="AA37" i="4"/>
  <c r="AA35" i="4"/>
  <c r="AA36" i="4"/>
  <c r="AC36" i="4"/>
  <c r="AC34" i="4"/>
  <c r="AA34" i="4"/>
  <c r="AA30" i="4"/>
  <c r="AA7" i="4"/>
  <c r="AA8" i="4"/>
  <c r="Z8" i="4"/>
  <c r="Z7" i="4"/>
  <c r="AD14" i="4"/>
  <c r="AA26" i="4"/>
  <c r="AA22" i="4"/>
  <c r="AA21" i="4"/>
  <c r="F21" i="4"/>
  <c r="F20" i="4"/>
  <c r="F19" i="4"/>
  <c r="F2" i="4"/>
  <c r="Y2" i="4"/>
  <c r="D2" i="4"/>
  <c r="W2" i="4"/>
  <c r="Z46" i="4"/>
  <c r="Z45" i="4"/>
  <c r="AC5" i="4" a="1"/>
  <c r="AC5" i="4" s="1"/>
  <c r="I14" i="4"/>
  <c r="W126" i="4"/>
  <c r="N126" i="4"/>
  <c r="D126" i="4"/>
  <c r="W125" i="4"/>
  <c r="N125" i="4"/>
  <c r="D125" i="4"/>
  <c r="W124" i="4"/>
  <c r="N124" i="4"/>
  <c r="D124" i="4"/>
  <c r="W123" i="4"/>
  <c r="N123" i="4"/>
  <c r="D123" i="4"/>
  <c r="W122" i="4"/>
  <c r="N122" i="4"/>
  <c r="D122" i="4"/>
  <c r="W121" i="4"/>
  <c r="N121" i="4"/>
  <c r="D121" i="4"/>
  <c r="W120" i="4"/>
  <c r="N120" i="4"/>
  <c r="D120" i="4"/>
  <c r="W119" i="4"/>
  <c r="N119" i="4"/>
  <c r="D119" i="4"/>
  <c r="W118" i="4"/>
  <c r="N118" i="4"/>
  <c r="D118" i="4"/>
  <c r="W117" i="4"/>
  <c r="N117" i="4"/>
  <c r="D117" i="4"/>
  <c r="W116" i="4"/>
  <c r="N116" i="4"/>
  <c r="D116" i="4"/>
  <c r="W115" i="4"/>
  <c r="N115" i="4"/>
  <c r="D115" i="4"/>
  <c r="W114" i="4"/>
  <c r="N114" i="4"/>
  <c r="D114" i="4"/>
  <c r="W113" i="4"/>
  <c r="N113" i="4"/>
  <c r="D113" i="4"/>
  <c r="W112" i="4"/>
  <c r="N112" i="4"/>
  <c r="D112" i="4"/>
  <c r="W111" i="4"/>
  <c r="N111" i="4"/>
  <c r="D111" i="4"/>
  <c r="W110" i="4"/>
  <c r="N110" i="4"/>
  <c r="D110" i="4"/>
  <c r="W109" i="4"/>
  <c r="N109" i="4"/>
  <c r="D109" i="4"/>
  <c r="W108" i="4"/>
  <c r="N108" i="4"/>
  <c r="D108" i="4"/>
  <c r="W107" i="4"/>
  <c r="N107" i="4"/>
  <c r="D107" i="4"/>
  <c r="W106" i="4"/>
  <c r="N106" i="4"/>
  <c r="D106" i="4"/>
  <c r="W105" i="4"/>
  <c r="N105" i="4"/>
  <c r="D105" i="4"/>
  <c r="W104" i="4"/>
  <c r="N104" i="4"/>
  <c r="D104" i="4"/>
  <c r="W103" i="4"/>
  <c r="N103" i="4"/>
  <c r="D103" i="4"/>
  <c r="W102" i="4"/>
  <c r="N102" i="4"/>
  <c r="D102" i="4"/>
  <c r="W101" i="4"/>
  <c r="N101" i="4"/>
  <c r="D101" i="4"/>
  <c r="W100" i="4"/>
  <c r="N100" i="4"/>
  <c r="D100" i="4"/>
  <c r="W99" i="4"/>
  <c r="N99" i="4"/>
  <c r="D99" i="4"/>
  <c r="W98" i="4"/>
  <c r="N98" i="4"/>
  <c r="D98" i="4"/>
  <c r="W97" i="4"/>
  <c r="N97" i="4"/>
  <c r="D97" i="4"/>
  <c r="W96" i="4"/>
  <c r="N96" i="4"/>
  <c r="D96" i="4"/>
  <c r="W95" i="4"/>
  <c r="N95" i="4"/>
  <c r="D95" i="4"/>
  <c r="W94" i="4"/>
  <c r="N94" i="4"/>
  <c r="D94" i="4"/>
  <c r="W93" i="4"/>
  <c r="N93" i="4"/>
  <c r="D93" i="4"/>
  <c r="W92" i="4"/>
  <c r="N92" i="4"/>
  <c r="D92" i="4"/>
  <c r="W91" i="4"/>
  <c r="N91" i="4"/>
  <c r="D91" i="4"/>
  <c r="W90" i="4"/>
  <c r="N90" i="4"/>
  <c r="D90" i="4"/>
  <c r="W89" i="4"/>
  <c r="N89" i="4"/>
  <c r="D89" i="4"/>
  <c r="W88" i="4"/>
  <c r="N88" i="4"/>
  <c r="D88" i="4"/>
  <c r="W87" i="4"/>
  <c r="N87" i="4"/>
  <c r="D87" i="4"/>
  <c r="W86" i="4"/>
  <c r="N86" i="4"/>
  <c r="D86" i="4"/>
  <c r="W85" i="4"/>
  <c r="N85" i="4"/>
  <c r="D85" i="4"/>
  <c r="W84" i="4"/>
  <c r="N84" i="4"/>
  <c r="D84" i="4"/>
  <c r="W83" i="4"/>
  <c r="N83" i="4"/>
  <c r="D83" i="4"/>
  <c r="W82" i="4"/>
  <c r="N82" i="4"/>
  <c r="D82" i="4"/>
  <c r="W81" i="4"/>
  <c r="N81" i="4"/>
  <c r="D81" i="4"/>
  <c r="W80" i="4"/>
  <c r="N80" i="4"/>
  <c r="D80" i="4"/>
  <c r="W79" i="4"/>
  <c r="N79" i="4"/>
  <c r="D79" i="4"/>
  <c r="W78" i="4"/>
  <c r="N78" i="4"/>
  <c r="D78" i="4"/>
  <c r="W77" i="4"/>
  <c r="N77" i="4"/>
  <c r="D77" i="4"/>
  <c r="W76" i="4"/>
  <c r="N76" i="4"/>
  <c r="D76" i="4"/>
  <c r="W75" i="4"/>
  <c r="N75" i="4"/>
  <c r="D75" i="4"/>
  <c r="W74" i="4"/>
  <c r="N74" i="4"/>
  <c r="D74" i="4"/>
  <c r="W73" i="4"/>
  <c r="N73" i="4"/>
  <c r="D73" i="4"/>
  <c r="W72" i="4"/>
  <c r="N72" i="4"/>
  <c r="D72" i="4"/>
  <c r="W71" i="4"/>
  <c r="N71" i="4"/>
  <c r="D71" i="4"/>
  <c r="W70" i="4"/>
  <c r="N70" i="4"/>
  <c r="D70" i="4"/>
  <c r="W69" i="4"/>
  <c r="N69" i="4"/>
  <c r="D69" i="4"/>
  <c r="W68" i="4"/>
  <c r="N68" i="4"/>
  <c r="D68" i="4"/>
  <c r="W67" i="4"/>
  <c r="N67" i="4"/>
  <c r="D67" i="4"/>
  <c r="W66" i="4"/>
  <c r="N66" i="4"/>
  <c r="D66" i="4"/>
  <c r="W65" i="4"/>
  <c r="N65" i="4"/>
  <c r="D65" i="4"/>
  <c r="W64" i="4"/>
  <c r="N64" i="4"/>
  <c r="D64" i="4"/>
  <c r="W63" i="4"/>
  <c r="N63" i="4"/>
  <c r="D63" i="4"/>
  <c r="W62" i="4"/>
  <c r="N62" i="4"/>
  <c r="D62" i="4"/>
  <c r="W61" i="4"/>
  <c r="N61" i="4"/>
  <c r="D61" i="4"/>
  <c r="W60" i="4"/>
  <c r="N60" i="4"/>
  <c r="D60" i="4"/>
  <c r="W59" i="4"/>
  <c r="N59" i="4"/>
  <c r="D59" i="4"/>
  <c r="W58" i="4"/>
  <c r="N58" i="4"/>
  <c r="D58" i="4"/>
  <c r="W57" i="4"/>
  <c r="N57" i="4"/>
  <c r="D57" i="4"/>
  <c r="W56" i="4"/>
  <c r="N56" i="4"/>
  <c r="D56" i="4"/>
  <c r="W55" i="4"/>
  <c r="N55" i="4"/>
  <c r="D55" i="4"/>
  <c r="W54" i="4"/>
  <c r="N54" i="4"/>
  <c r="D54" i="4"/>
  <c r="W53" i="4"/>
  <c r="N53" i="4"/>
  <c r="D53" i="4"/>
  <c r="W52" i="4"/>
  <c r="N52" i="4"/>
  <c r="D52" i="4"/>
  <c r="W51" i="4"/>
  <c r="N51" i="4"/>
  <c r="D51" i="4"/>
  <c r="W50" i="4"/>
  <c r="N50" i="4"/>
  <c r="D50" i="4"/>
  <c r="W49" i="4"/>
  <c r="N49" i="4"/>
  <c r="D49" i="4"/>
  <c r="W48" i="4"/>
  <c r="N48" i="4"/>
  <c r="D48" i="4"/>
  <c r="W47" i="4"/>
  <c r="N47" i="4"/>
  <c r="D47" i="4"/>
  <c r="W46" i="4"/>
  <c r="N46" i="4"/>
  <c r="D46" i="4"/>
  <c r="W45" i="4"/>
  <c r="N45" i="4"/>
  <c r="D45" i="4"/>
  <c r="W44" i="4"/>
  <c r="N44" i="4"/>
  <c r="D44" i="4"/>
  <c r="W43" i="4"/>
  <c r="N43" i="4"/>
  <c r="D43" i="4"/>
  <c r="W42" i="4"/>
  <c r="N42" i="4"/>
  <c r="D42" i="4"/>
  <c r="W41" i="4"/>
  <c r="N41" i="4"/>
  <c r="D41" i="4"/>
  <c r="W40" i="4"/>
  <c r="N40" i="4"/>
  <c r="D40" i="4"/>
  <c r="W39" i="4"/>
  <c r="N39" i="4"/>
  <c r="D39" i="4"/>
  <c r="W38" i="4"/>
  <c r="N38" i="4"/>
  <c r="D38" i="4"/>
  <c r="W37" i="4"/>
  <c r="N37" i="4"/>
  <c r="D37" i="4"/>
  <c r="W36" i="4"/>
  <c r="N36" i="4"/>
  <c r="D36" i="4"/>
  <c r="W35" i="4"/>
  <c r="N35" i="4"/>
  <c r="D35" i="4"/>
  <c r="W34" i="4"/>
  <c r="N34" i="4"/>
  <c r="D34" i="4"/>
  <c r="W33" i="4"/>
  <c r="N33" i="4"/>
  <c r="D33" i="4"/>
  <c r="W32" i="4"/>
  <c r="N32" i="4"/>
  <c r="D32" i="4"/>
  <c r="W31" i="4"/>
  <c r="N31" i="4"/>
  <c r="D31" i="4"/>
  <c r="W30" i="4"/>
  <c r="N30" i="4"/>
  <c r="D30" i="4"/>
  <c r="W29" i="4"/>
  <c r="N29" i="4"/>
  <c r="D29" i="4"/>
  <c r="W28" i="4"/>
  <c r="N28" i="4"/>
  <c r="D28" i="4"/>
  <c r="W27" i="4"/>
  <c r="N27" i="4"/>
  <c r="D27" i="4"/>
  <c r="W26" i="4"/>
  <c r="N26" i="4"/>
  <c r="D26" i="4"/>
  <c r="W25" i="4"/>
  <c r="N25" i="4"/>
  <c r="D25" i="4"/>
  <c r="W24" i="4"/>
  <c r="N24" i="4"/>
  <c r="D24" i="4"/>
  <c r="W23" i="4"/>
  <c r="N23" i="4"/>
  <c r="D23" i="4"/>
  <c r="W22" i="4"/>
  <c r="N22" i="4"/>
  <c r="D22" i="4"/>
  <c r="W21" i="4"/>
  <c r="N21" i="4"/>
  <c r="D21" i="4"/>
  <c r="W20" i="4"/>
  <c r="N20" i="4"/>
  <c r="D20" i="4"/>
  <c r="W19" i="4"/>
  <c r="N19" i="4"/>
  <c r="D19" i="4"/>
  <c r="W18" i="4"/>
  <c r="N18" i="4"/>
  <c r="D18" i="4"/>
  <c r="W17" i="4"/>
  <c r="N17" i="4"/>
  <c r="D17" i="4"/>
  <c r="W16" i="4"/>
  <c r="N16" i="4"/>
  <c r="D16" i="4"/>
  <c r="W15" i="4"/>
  <c r="N15" i="4"/>
  <c r="D15" i="4"/>
  <c r="W14" i="4"/>
  <c r="N14" i="4"/>
  <c r="D14" i="4"/>
  <c r="AA20" i="4" s="1"/>
  <c r="W13" i="4"/>
  <c r="N13" i="4"/>
  <c r="D13" i="4"/>
  <c r="W12" i="4"/>
  <c r="N12" i="4"/>
  <c r="D12" i="4"/>
  <c r="W11" i="4"/>
  <c r="N11" i="4"/>
  <c r="D11" i="4"/>
  <c r="W10" i="4"/>
  <c r="N10" i="4"/>
  <c r="D10" i="4"/>
  <c r="W9" i="4"/>
  <c r="N9" i="4"/>
  <c r="D9" i="4"/>
  <c r="W8" i="4"/>
  <c r="N8" i="4"/>
  <c r="D8" i="4"/>
  <c r="W7" i="4"/>
  <c r="N7" i="4"/>
  <c r="D7" i="4"/>
  <c r="W6" i="4"/>
  <c r="N6" i="4"/>
  <c r="D6" i="4"/>
  <c r="W5" i="4"/>
  <c r="N5" i="4"/>
  <c r="D5" i="4"/>
  <c r="W4" i="4"/>
  <c r="N4" i="4"/>
  <c r="D4" i="4"/>
  <c r="W3" i="4"/>
  <c r="N3" i="4"/>
  <c r="D3" i="4"/>
  <c r="N2" i="4"/>
  <c r="Q30" i="4" a="1"/>
  <c r="Q29" i="4" a="1"/>
  <c r="Q37" i="4" a="1"/>
  <c r="Q31" i="4" a="1"/>
  <c r="Q36" i="4" a="1"/>
  <c r="Q35" i="4" a="1"/>
  <c r="AK101" i="4" l="1"/>
  <c r="AA31" i="4"/>
  <c r="Q37" i="4"/>
  <c r="Q35" i="4"/>
  <c r="Q36" i="4"/>
  <c r="Q31" i="4"/>
  <c r="Q30" i="4"/>
  <c r="Q29" i="4"/>
  <c r="P2" i="4"/>
  <c r="AC14" i="4"/>
  <c r="G9" i="4"/>
  <c r="AA32" i="4" l="1"/>
  <c r="AA27" i="4"/>
  <c r="Z40" i="4"/>
  <c r="F8" i="4"/>
  <c r="F9" i="4"/>
  <c r="H10" i="4"/>
  <c r="AC15" i="4"/>
  <c r="F10" i="4"/>
  <c r="G10" i="4"/>
  <c r="F1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<sst xmlns="http://schemas.openxmlformats.org/spreadsheetml/2006/main" count="111" uniqueCount="79">
  <si>
    <t>Date</t>
  </si>
  <si>
    <t>Last PriceCVS</t>
  </si>
  <si>
    <t xml:space="preserve">Return CVS </t>
  </si>
  <si>
    <t>Standard deviation</t>
  </si>
  <si>
    <t>CAGR</t>
  </si>
  <si>
    <t>Last Price</t>
  </si>
  <si>
    <t>VST US</t>
  </si>
  <si>
    <t xml:space="preserve">Returm </t>
  </si>
  <si>
    <t>st dev</t>
  </si>
  <si>
    <t>SBUX</t>
  </si>
  <si>
    <t>Return</t>
  </si>
  <si>
    <t>ST DEV</t>
  </si>
  <si>
    <t>CVS</t>
  </si>
  <si>
    <t>VST</t>
  </si>
  <si>
    <t>Correlation matrix</t>
  </si>
  <si>
    <t>Annnualized Volatility</t>
  </si>
  <si>
    <t>variance SBUX</t>
  </si>
  <si>
    <t>Variance CVS</t>
  </si>
  <si>
    <t>Variance VST</t>
  </si>
  <si>
    <t>w1</t>
  </si>
  <si>
    <t>w2</t>
  </si>
  <si>
    <t>w3</t>
  </si>
  <si>
    <t>SUM</t>
  </si>
  <si>
    <t xml:space="preserve">Variance </t>
  </si>
  <si>
    <t xml:space="preserve">Risk Free Rate </t>
  </si>
  <si>
    <t>12 month US BOND</t>
  </si>
  <si>
    <t>Tangency Portfolio</t>
  </si>
  <si>
    <t>Stock</t>
  </si>
  <si>
    <t>Starbucks(SBUX)</t>
  </si>
  <si>
    <t>Vistra (VST)</t>
  </si>
  <si>
    <t>Expected Return</t>
  </si>
  <si>
    <t>Standard Deviation</t>
  </si>
  <si>
    <t>Variance</t>
  </si>
  <si>
    <t>Correlation</t>
  </si>
  <si>
    <t>Risk Free Rate</t>
  </si>
  <si>
    <t>Covariance</t>
  </si>
  <si>
    <t>VST weight</t>
  </si>
  <si>
    <t>SBUX weight</t>
  </si>
  <si>
    <t>Expected return of Tangency</t>
  </si>
  <si>
    <t>Standard deviation of Tangecy</t>
  </si>
  <si>
    <t>Sharpe ratio</t>
  </si>
  <si>
    <t>Weight of Risky Portfolio</t>
  </si>
  <si>
    <t>Expected return Optimal Complete Portfolio</t>
  </si>
  <si>
    <t>Inverse Matrix</t>
  </si>
  <si>
    <t>Excess Return</t>
  </si>
  <si>
    <t>OPR WEIGHTS</t>
  </si>
  <si>
    <t xml:space="preserve"> Matrix</t>
  </si>
  <si>
    <t>(average*252)-risk free</t>
  </si>
  <si>
    <t>Initial Portfolio weighting with 3 Assets</t>
  </si>
  <si>
    <t>Annualized Volatility</t>
  </si>
  <si>
    <t>VBA</t>
  </si>
  <si>
    <t>Standard Deviation of OCP</t>
  </si>
  <si>
    <t>Risk Aversion Coefficient</t>
  </si>
  <si>
    <t>VST                                                                  39.09%</t>
  </si>
  <si>
    <t>SBUX                                                                6.34%</t>
  </si>
  <si>
    <t>Average Daily Return</t>
  </si>
  <si>
    <t>Annual return</t>
  </si>
  <si>
    <t>Portfolio Variance</t>
  </si>
  <si>
    <t>Portfolio STDEV</t>
  </si>
  <si>
    <t>OCP Expected return</t>
  </si>
  <si>
    <t>OCP Expected Volatility</t>
  </si>
  <si>
    <t>Weight of Risk Free Asset (US Bond)</t>
  </si>
  <si>
    <t>OCP weights</t>
  </si>
  <si>
    <t>Since 83%= is Risky portfolio 90.79% of 83 is SBUX and etc.</t>
  </si>
  <si>
    <t>SBUX weight in OCP</t>
  </si>
  <si>
    <t>VST weight in OCP</t>
  </si>
  <si>
    <t>Bond weight In OCP</t>
  </si>
  <si>
    <t>Q4 Optimal weight</t>
  </si>
  <si>
    <t>Portfolio Risk Level</t>
  </si>
  <si>
    <t>Efficiency Frontier</t>
  </si>
  <si>
    <t>Return on Portfolio</t>
  </si>
  <si>
    <t>Standard Deviation on portfolio</t>
  </si>
  <si>
    <t>sbux</t>
  </si>
  <si>
    <t>vst</t>
  </si>
  <si>
    <t>Sharpe Ratio</t>
  </si>
  <si>
    <t>Capital Allocation Line</t>
  </si>
  <si>
    <t xml:space="preserve">Weight </t>
  </si>
  <si>
    <t>St.dev</t>
  </si>
  <si>
    <t>CAL + EFFICIENCY FRONTIER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</si>
</sst>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%"/>
    <numFmt numFmtId="165" formatCode="0.000%"/>
    <numFmt numFmtId="166" formatCode="0.0000%"/>
    <numFmt numFmtId="167" formatCode="_-* #,##0.0000000000_-;\-* #,##0.0000000000_-;_-* &quot;-&quot;??_-;_-@_-"/>
    <numFmt numFmtId="168" formatCode="0.000E+00"/>
    <numFmt numFmtId="169" formatCode="0.00000%"/>
    <numFmt numFmtId="170" formatCode="0.00000000"/>
    <numFmt numFmtId="171" formatCode="_-* #,##0.000_-;\-* #,##0.000_-;_-* &quot;-&quot;??_-;_-@_-"/>
    <numFmt numFmtId="172" formatCode="_-* #,##0.00000000_-;\-* #,##0.0000000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1" fontId="0" fillId="0" borderId="0" xfId="0" applyNumberFormat="1"/>
    <xf numFmtId="9" fontId="0" fillId="0" borderId="0" xfId="0" applyNumberFormat="1"/>
    <xf numFmtId="11" fontId="2" fillId="2" borderId="0" xfId="2" applyNumberFormat="1"/>
    <xf numFmtId="14" fontId="0" fillId="4" borderId="0" xfId="0" applyNumberFormat="1" applyFill="1"/>
    <xf numFmtId="0" fontId="0" fillId="4" borderId="0" xfId="0" applyFill="1"/>
    <xf numFmtId="9" fontId="0" fillId="0" borderId="0" xfId="1" applyFont="1"/>
    <xf numFmtId="166" fontId="0" fillId="0" borderId="0" xfId="1" applyNumberFormat="1" applyFont="1"/>
    <xf numFmtId="167" fontId="0" fillId="0" borderId="0" xfId="4" applyNumberFormat="1" applyFont="1"/>
    <xf numFmtId="0" fontId="0" fillId="0" borderId="1" xfId="0" applyBorder="1"/>
    <xf numFmtId="10" fontId="0" fillId="0" borderId="1" xfId="1" applyNumberFormat="1" applyFont="1" applyBorder="1"/>
    <xf numFmtId="164" fontId="0" fillId="0" borderId="1" xfId="1" applyNumberFormat="1" applyFont="1" applyBorder="1"/>
    <xf numFmtId="165" fontId="0" fillId="0" borderId="1" xfId="0" applyNumberFormat="1" applyBorder="1"/>
    <xf numFmtId="165" fontId="0" fillId="0" borderId="1" xfId="1" applyNumberFormat="1" applyFont="1" applyBorder="1"/>
    <xf numFmtId="168" fontId="0" fillId="0" borderId="0" xfId="0" applyNumberFormat="1"/>
    <xf numFmtId="169" fontId="0" fillId="0" borderId="0" xfId="1" applyNumberFormat="1" applyFont="1"/>
    <xf numFmtId="166" fontId="0" fillId="0" borderId="1" xfId="1" applyNumberFormat="1" applyFont="1" applyBorder="1"/>
    <xf numFmtId="9" fontId="0" fillId="0" borderId="1" xfId="0" applyNumberFormat="1" applyBorder="1"/>
    <xf numFmtId="170" fontId="0" fillId="0" borderId="1" xfId="0" applyNumberFormat="1" applyBorder="1"/>
    <xf numFmtId="2" fontId="0" fillId="0" borderId="0" xfId="0" applyNumberFormat="1"/>
    <xf numFmtId="0" fontId="0" fillId="5" borderId="0" xfId="0" applyFill="1"/>
    <xf numFmtId="164" fontId="0" fillId="0" borderId="0" xfId="1" applyNumberFormat="1" applyFont="1"/>
    <xf numFmtId="9" fontId="0" fillId="0" borderId="1" xfId="1" applyFont="1" applyBorder="1"/>
    <xf numFmtId="171" fontId="0" fillId="0" borderId="1" xfId="4" applyNumberFormat="1" applyFont="1" applyBorder="1"/>
    <xf numFmtId="172" fontId="0" fillId="0" borderId="0" xfId="4" applyNumberFormat="1" applyFont="1"/>
    <xf numFmtId="0" fontId="0" fillId="0" borderId="3" xfId="0" applyBorder="1"/>
    <xf numFmtId="0" fontId="3" fillId="5" borderId="4" xfId="3" applyFill="1" applyBorder="1"/>
    <xf numFmtId="166" fontId="0" fillId="0" borderId="0" xfId="0" applyNumberFormat="1"/>
    <xf numFmtId="10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4" fontId="0" fillId="6" borderId="0" xfId="1" applyNumberFormat="1" applyFont="1" applyFill="1"/>
    <xf numFmtId="0" fontId="0" fillId="6" borderId="0" xfId="0" applyFill="1"/>
    <xf numFmtId="9" fontId="0" fillId="6" borderId="0" xfId="1" applyFont="1" applyFill="1"/>
  </cellXfs>
  <cellStyles count="5">
    <cellStyle name="Bad" xfId="3" builtinId="27"/>
    <cellStyle name="Comma" xfId="4" builtinId="3"/>
    <cellStyle name="Good" xfId="2" builtinId="26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Capital</a:t>
            </a:r>
            <a:r>
              <a:rPr lang="en-GB" baseline="0"/>
              <a:t> Allocation Line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Sheet4!$Z$67:$Z$73</c:f>
              <c:numCache>
                <c:formatCode>0%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</c:numCache>
            </c:numRef>
          </c:xVal>
          <c:yVal>
            <c:numRef>
              <c:f>Sheet4!$AA$67:$AA$73</c:f>
              <c:numCache>
                <c:formatCode>0.0000%</c:formatCode>
                <c:ptCount val="7"/>
                <c:pt idx="0">
                  <c:v>4.0500000000000001E-2</c:v>
                </c:pt>
                <c:pt idx="1">
                  <c:v>0.23161835725454738</c:v>
                </c:pt>
                <c:pt idx="2">
                  <c:v>0.42273671450909472</c:v>
                </c:pt>
                <c:pt idx="3">
                  <c:v>0.61385507176364207</c:v>
                </c:pt>
                <c:pt idx="4">
                  <c:v>0.80497342901818947</c:v>
                </c:pt>
                <c:pt idx="5">
                  <c:v>0.99609178627273676</c:v>
                </c:pt>
                <c:pt idx="6">
                  <c:v>1.1872101435272842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A7-4567-8981-B6EA852D8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342015"/>
        <c:axId val="941334815"/>
      </c:scatterChart>
      <c:valAx>
        <c:axId val="941342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34815"/>
        <c:crosses val="autoZero"/>
        <c:crossBetween val="midCat"/>
      </c:valAx>
      <c:valAx>
        <c:axId val="94133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342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CAL+Efficiency Frontier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Sheet4!$AG$99:$AG$115</c:f>
              <c:numCache>
                <c:formatCode>0%</c:formatCode>
                <c:ptCount val="17"/>
                <c:pt idx="0">
                  <c:v>0.48435978384718242</c:v>
                </c:pt>
                <c:pt idx="1">
                  <c:v>0.41165363829253865</c:v>
                </c:pt>
                <c:pt idx="2">
                  <c:v>0.34522687505210958</c:v>
                </c:pt>
                <c:pt idx="3">
                  <c:v>0.28507949412589489</c:v>
                </c:pt>
                <c:pt idx="4">
                  <c:v>0.23121149551389486</c:v>
                </c:pt>
                <c:pt idx="5">
                  <c:v>0.18362287921610937</c:v>
                </c:pt>
                <c:pt idx="6">
                  <c:v>0.14231364523253837</c:v>
                </c:pt>
                <c:pt idx="7">
                  <c:v>0.10728379356318199</c:v>
                </c:pt>
                <c:pt idx="8">
                  <c:v>7.853332420804017E-2</c:v>
                </c:pt>
                <c:pt idx="9">
                  <c:v>5.6062237167112915E-2</c:v>
                </c:pt>
                <c:pt idx="10">
                  <c:v>3.9870532440400196E-2</c:v>
                </c:pt>
                <c:pt idx="11">
                  <c:v>2.9958210027902034E-2</c:v>
                </c:pt>
                <c:pt idx="12">
                  <c:v>2.632526992961844E-2</c:v>
                </c:pt>
                <c:pt idx="13">
                  <c:v>2.8971712145549403E-2</c:v>
                </c:pt>
                <c:pt idx="14">
                  <c:v>3.789753667569494E-2</c:v>
                </c:pt>
                <c:pt idx="15">
                  <c:v>5.3102743520054993E-2</c:v>
                </c:pt>
                <c:pt idx="16">
                  <c:v>7.4587332678629659E-2</c:v>
                </c:pt>
              </c:numCache>
            </c:numRef>
          </c:xVal>
          <c:yVal>
            <c:numRef>
              <c:f>Sheet4!$AD$99:$AD$115</c:f>
              <c:numCache>
                <c:formatCode>0.0%</c:formatCode>
                <c:ptCount val="17"/>
                <c:pt idx="0">
                  <c:v>5.9660617255465862</c:v>
                </c:pt>
                <c:pt idx="1">
                  <c:v>5.5480632769570235</c:v>
                </c:pt>
                <c:pt idx="2">
                  <c:v>5.1300648283674608</c:v>
                </c:pt>
                <c:pt idx="3">
                  <c:v>4.7120663797778981</c:v>
                </c:pt>
                <c:pt idx="4">
                  <c:v>4.2940679311883363</c:v>
                </c:pt>
                <c:pt idx="5">
                  <c:v>3.8760694825987727</c:v>
                </c:pt>
                <c:pt idx="6">
                  <c:v>3.4580710340092096</c:v>
                </c:pt>
                <c:pt idx="7">
                  <c:v>3.0400725854196473</c:v>
                </c:pt>
                <c:pt idx="8">
                  <c:v>2.6220741368300846</c:v>
                </c:pt>
                <c:pt idx="9">
                  <c:v>2.2040756882405219</c:v>
                </c:pt>
                <c:pt idx="10">
                  <c:v>1.7860772396509592</c:v>
                </c:pt>
                <c:pt idx="11">
                  <c:v>1.3680787910613961</c:v>
                </c:pt>
                <c:pt idx="12">
                  <c:v>0.95008034247183359</c:v>
                </c:pt>
                <c:pt idx="13">
                  <c:v>0.5320818938822709</c:v>
                </c:pt>
                <c:pt idx="14">
                  <c:v>0.11408344529270781</c:v>
                </c:pt>
                <c:pt idx="15">
                  <c:v>-0.30391500329685439</c:v>
                </c:pt>
                <c:pt idx="16">
                  <c:v>-0.72191345188641742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0D-4D25-B614-2873027B6CE2}"/>
            </c:ext>
          </c:extLst>
        </c:ser>
        <c:ser>
          <c:idx val="1"/>
          <c:order val="1"/>
          <c:tx>
            <c:v>CAL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Sheet4!$AF$124:$AF$126</c:f>
              <c:numCache>
                <c:formatCode>0%</c:formatCode>
                <c:ptCount val="3"/>
                <c:pt idx="0">
                  <c:v>0</c:v>
                </c:pt>
                <c:pt idx="1">
                  <c:v>0.23121149551389486</c:v>
                </c:pt>
                <c:pt idx="2">
                  <c:v>0.46242299102778972</c:v>
                </c:pt>
              </c:numCache>
            </c:numRef>
          </c:xVal>
          <c:yVal>
            <c:numRef>
              <c:f>Sheet4!$AE$124:$AE$126</c:f>
              <c:numCache>
                <c:formatCode>0.00%</c:formatCode>
                <c:ptCount val="3"/>
                <c:pt idx="0">
                  <c:v>4.0500000000000001E-2</c:v>
                </c:pt>
                <c:pt idx="1">
                  <c:v>3.8760694825987727</c:v>
                </c:pt>
                <c:pt idx="2">
                  <c:v>6.9161420680184191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0D-4D25-B614-2873027B6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32975"/>
        <c:axId val="968929615"/>
      </c:scatterChart>
      <c:valAx>
        <c:axId val="968932975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929615"/>
        <c:crosses val="autoZero"/>
        <c:crossBetween val="midCat"/>
      </c:valAx>
      <c:valAx>
        <c:axId val="968929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93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219075</xdr:colOff>
      <xdr:row>80</xdr:row>
      <xdr:rowOff>176213</xdr:rowOff>
    </xdr:from>
    <xdr:to>
      <xdr:col>45</xdr:col>
      <xdr:colOff>523875</xdr:colOff>
      <xdr:row>96</xdr:row>
      <xdr:rowOff>23813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149268-9E59-7FB0-70F2-EED792BCC4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561975</xdr:colOff>
      <xdr:row>97</xdr:row>
      <xdr:rowOff>119063</xdr:rowOff>
    </xdr:from>
    <xdr:to>
      <xdr:col>45</xdr:col>
      <xdr:colOff>257175</xdr:colOff>
      <xdr:row>112</xdr:row>
      <xdr:rowOff>147638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E37FF47-4A2E-AF2B-9316-EDED2506B6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4454-8875-4CB9-8666-68B55B70F0EE}">
  <sheetPr codeName="Sheet4"/>
  <dimension ref="A1:AO142"/>
  <sheetViews>
    <sheetView tabSelected="1" topLeftCell="U80" zoomScale="70" zoomScaleNormal="70" workbookViewId="0">
      <selection activeCell="AA87" sqref="AA87"/>
    </sheetView>
  </sheetViews>
  <sheetFormatPr defaultColWidth="8.88671875" defaultRowHeight="14.4" x14ac:dyDescent="0.3"/>
  <cols>
    <col min="1" max="1" width="13.6640625" customWidth="1"/>
    <col min="6" max="6" width="26.109375" bestFit="1" customWidth="1"/>
    <col min="7" max="7" width="11.44140625" customWidth="1"/>
    <col min="8" max="8" width="11.6640625" bestFit="1" customWidth="1"/>
    <col min="18" max="18" width="10.109375" customWidth="1"/>
    <col min="25" max="25" width="10.33203125" bestFit="1" customWidth="1"/>
    <col min="26" max="26" width="37.44140625" customWidth="1"/>
    <col min="27" max="27" width="23" customWidth="1"/>
    <col min="28" max="28" width="20.109375" customWidth="1"/>
    <col min="29" max="29" width="11.5546875" bestFit="1" customWidth="1"/>
    <col min="30" max="30" width="13.6640625" customWidth="1"/>
    <col min="31" max="31" width="13.33203125" bestFit="1" customWidth="1"/>
  </cols>
  <sheetData>
    <row r="1" spans="1:31" x14ac:dyDescent="0.3">
      <c r="A1" t="s">
        <v>0</v>
      </c>
      <c r="B1" t="s">
        <v>5</v>
      </c>
      <c r="C1" t="s">
        <v>9</v>
      </c>
      <c r="D1" t="s">
        <v>10</v>
      </c>
      <c r="F1" t="s">
        <v>11</v>
      </c>
      <c r="K1" t="s">
        <v>1</v>
      </c>
      <c r="N1" t="s">
        <v>2</v>
      </c>
      <c r="P1" t="s">
        <v>3</v>
      </c>
      <c r="U1" t="s">
        <v>5</v>
      </c>
      <c r="V1" t="s">
        <v>6</v>
      </c>
      <c r="W1" t="s">
        <v>7</v>
      </c>
      <c r="Y1" t="s">
        <v>8</v>
      </c>
    </row>
    <row r="2" spans="1:31" x14ac:dyDescent="0.3">
      <c r="A2" s="1">
        <v>45708</v>
      </c>
      <c r="B2" s="22">
        <v>113.34</v>
      </c>
      <c r="D2">
        <f>(B2-B3)/B3</f>
        <v>7.5562272201974267E-3</v>
      </c>
      <c r="F2" s="18">
        <f>_xlfn.STDEV.S(D2:D125)</f>
        <v>1.5163582142006426E-2</v>
      </c>
      <c r="I2" s="2"/>
      <c r="K2">
        <v>65.09</v>
      </c>
      <c r="N2">
        <f>(K2-K3)/K3</f>
        <v>-1.9728915662650635E-2</v>
      </c>
      <c r="P2" s="2">
        <f>_xlfn.STDEV.S(N2:N126)</f>
        <v>2.811086685116437E-2</v>
      </c>
      <c r="S2" s="3"/>
      <c r="U2">
        <v>163.18</v>
      </c>
      <c r="W2">
        <f>(U2-U3)/U3</f>
        <v>-3.6433421907292519E-2</v>
      </c>
      <c r="Y2" s="2">
        <f>_xlfn.STDEV.S(W2:W126)</f>
        <v>4.7566118904802737E-2</v>
      </c>
      <c r="AA2" s="3"/>
    </row>
    <row r="3" spans="1:31" x14ac:dyDescent="0.3">
      <c r="A3" s="1">
        <v>45707</v>
      </c>
      <c r="B3">
        <v>112.49</v>
      </c>
      <c r="D3">
        <f t="shared" ref="D3:D66" si="0">(B3-B4)/B4</f>
        <v>-4.7774927010528732E-3</v>
      </c>
      <c r="K3">
        <v>66.400000000000006</v>
      </c>
      <c r="N3">
        <f t="shared" ref="N3:N66" si="1">(K3-K4)/K4</f>
        <v>1.2658227848101458E-2</v>
      </c>
      <c r="U3">
        <v>169.35</v>
      </c>
      <c r="W3">
        <f t="shared" ref="W3:W66" si="2">(U3-U4)/U4</f>
        <v>4.1351606805288977E-4</v>
      </c>
      <c r="AC3" s="12" t="s">
        <v>43</v>
      </c>
      <c r="AD3" s="12"/>
    </row>
    <row r="4" spans="1:31" x14ac:dyDescent="0.3">
      <c r="A4" s="1">
        <v>45706</v>
      </c>
      <c r="B4">
        <v>113.03</v>
      </c>
      <c r="D4">
        <f t="shared" si="0"/>
        <v>4.2647712127943495E-3</v>
      </c>
      <c r="K4">
        <v>65.569999999999993</v>
      </c>
      <c r="N4">
        <f t="shared" si="1"/>
        <v>-3.949567066686999E-3</v>
      </c>
      <c r="U4">
        <v>169.28</v>
      </c>
      <c r="W4">
        <f t="shared" si="2"/>
        <v>9.6624120243349911E-3</v>
      </c>
      <c r="AC4" s="12" t="s">
        <v>9</v>
      </c>
      <c r="AD4" s="12" t="s">
        <v>13</v>
      </c>
    </row>
    <row r="5" spans="1:31" x14ac:dyDescent="0.3">
      <c r="A5" s="1">
        <v>45702</v>
      </c>
      <c r="B5">
        <v>112.55</v>
      </c>
      <c r="D5">
        <f t="shared" si="0"/>
        <v>-3.9823008849557773E-3</v>
      </c>
      <c r="K5">
        <v>65.83</v>
      </c>
      <c r="N5">
        <f t="shared" si="1"/>
        <v>-8.1362061172217306E-3</v>
      </c>
      <c r="U5">
        <v>167.66</v>
      </c>
      <c r="W5">
        <f t="shared" si="2"/>
        <v>1.2134017506791373E-2</v>
      </c>
      <c r="AB5" s="12" t="s">
        <v>9</v>
      </c>
      <c r="AC5" s="12" cm="1">
        <f t="array" ref="AC5:AD6">MINVERSE(AA54:AB55)</f>
        <v>4496.6726956622188</v>
      </c>
      <c r="AD5" s="12">
        <v>-330.5822151323739</v>
      </c>
    </row>
    <row r="6" spans="1:31" x14ac:dyDescent="0.3">
      <c r="A6" s="1">
        <v>45701</v>
      </c>
      <c r="B6">
        <v>113</v>
      </c>
      <c r="D6">
        <f t="shared" si="0"/>
        <v>-3.5385704175518623E-4</v>
      </c>
      <c r="F6" t="s">
        <v>14</v>
      </c>
      <c r="K6">
        <v>66.37</v>
      </c>
      <c r="N6">
        <f t="shared" si="1"/>
        <v>4.9826004428978263E-2</v>
      </c>
      <c r="U6">
        <v>165.65</v>
      </c>
      <c r="W6">
        <f t="shared" si="2"/>
        <v>-5.761959066082515E-3</v>
      </c>
      <c r="Z6" t="s">
        <v>55</v>
      </c>
      <c r="AA6" t="s">
        <v>56</v>
      </c>
      <c r="AB6" s="12" t="s">
        <v>13</v>
      </c>
      <c r="AC6" s="12">
        <v>-157.72721897388288</v>
      </c>
      <c r="AD6" s="12">
        <v>453.57762603881827</v>
      </c>
    </row>
    <row r="7" spans="1:31" x14ac:dyDescent="0.3">
      <c r="A7" s="1">
        <v>45700</v>
      </c>
      <c r="B7">
        <v>113.04</v>
      </c>
      <c r="D7">
        <f t="shared" si="0"/>
        <v>1.8103215347203504E-2</v>
      </c>
      <c r="F7" t="s">
        <v>9</v>
      </c>
      <c r="G7" t="s">
        <v>12</v>
      </c>
      <c r="H7" t="s">
        <v>13</v>
      </c>
      <c r="K7">
        <v>63.22</v>
      </c>
      <c r="N7">
        <f t="shared" si="1"/>
        <v>0.14945454545454542</v>
      </c>
      <c r="U7">
        <v>166.61</v>
      </c>
      <c r="W7">
        <f t="shared" si="2"/>
        <v>-5.9662311317940451E-3</v>
      </c>
      <c r="Y7" t="s">
        <v>13</v>
      </c>
      <c r="Z7" s="2">
        <f>AVERAGE(W2:W126)</f>
        <v>6.9389671980089364E-3</v>
      </c>
      <c r="AA7" s="24">
        <f>(1+Z7)^252-1</f>
        <v>4.7120663797778981</v>
      </c>
    </row>
    <row r="8" spans="1:31" x14ac:dyDescent="0.3">
      <c r="A8" s="1">
        <v>45699</v>
      </c>
      <c r="B8">
        <v>111.03</v>
      </c>
      <c r="D8">
        <f t="shared" si="0"/>
        <v>-3.768506056527606E-3</v>
      </c>
      <c r="E8" t="s">
        <v>9</v>
      </c>
      <c r="F8">
        <f>_xlfn.VAR.S(D2:D126)</f>
        <v>2.2822109288896965E-4</v>
      </c>
      <c r="G8" s="4">
        <v>4.5294499999999998E-5</v>
      </c>
      <c r="H8">
        <v>1.6633500000000001E-4</v>
      </c>
      <c r="K8">
        <v>55</v>
      </c>
      <c r="N8">
        <f t="shared" si="1"/>
        <v>1.3077914901455163E-2</v>
      </c>
      <c r="U8">
        <v>167.61</v>
      </c>
      <c r="W8">
        <f t="shared" si="2"/>
        <v>-4.6321040441829843E-3</v>
      </c>
      <c r="Y8" t="s">
        <v>9</v>
      </c>
      <c r="Z8" s="2">
        <f>AVERAGE(D2:D126)</f>
        <v>1.6944002473602382E-3</v>
      </c>
      <c r="AA8" s="24">
        <f>(1+Z8)^252-1</f>
        <v>0.5320818938822709</v>
      </c>
    </row>
    <row r="9" spans="1:31" x14ac:dyDescent="0.3">
      <c r="A9" s="1">
        <v>45698</v>
      </c>
      <c r="B9">
        <v>111.45</v>
      </c>
      <c r="D9">
        <f t="shared" si="0"/>
        <v>-6.6844919786096255E-3</v>
      </c>
      <c r="E9" t="s">
        <v>12</v>
      </c>
      <c r="F9">
        <f>_xlfn.COVARIANCE.S(D2:D126,N2:N126)</f>
        <v>5.4772168056816066E-5</v>
      </c>
      <c r="G9">
        <f>_xlfn.VAR.S(N2:N126)</f>
        <v>7.9022083512389181E-4</v>
      </c>
      <c r="H9" s="17">
        <v>-7.6712700000000002E-5</v>
      </c>
      <c r="K9">
        <v>54.29</v>
      </c>
      <c r="N9">
        <f t="shared" si="1"/>
        <v>5.1842251434919672E-3</v>
      </c>
      <c r="U9">
        <v>168.39</v>
      </c>
      <c r="W9">
        <f t="shared" si="2"/>
        <v>8.9275014979028205E-3</v>
      </c>
    </row>
    <row r="10" spans="1:31" x14ac:dyDescent="0.3">
      <c r="A10" s="1">
        <v>45695</v>
      </c>
      <c r="B10">
        <v>112.2</v>
      </c>
      <c r="D10">
        <f t="shared" si="0"/>
        <v>4.4762757385854966E-3</v>
      </c>
      <c r="E10" t="s">
        <v>13</v>
      </c>
      <c r="F10">
        <f>_xlfn.COVARIANCE.S(D2:D126,W2:W126)</f>
        <v>7.9361670916009206E-5</v>
      </c>
      <c r="G10">
        <f>_xlfn.COVARIANCE.S(N2:N126,W2:W126)</f>
        <v>-7.3829592554027209E-5</v>
      </c>
      <c r="H10">
        <f>_xlfn.VAR.S(W2:W126)</f>
        <v>2.2625356676658323E-3</v>
      </c>
      <c r="K10">
        <v>54.01</v>
      </c>
      <c r="N10">
        <f t="shared" si="1"/>
        <v>-4.2404129793511052E-3</v>
      </c>
      <c r="U10">
        <v>166.9</v>
      </c>
      <c r="W10">
        <f t="shared" si="2"/>
        <v>-1.7541794207675945E-2</v>
      </c>
    </row>
    <row r="11" spans="1:31" x14ac:dyDescent="0.3">
      <c r="A11" s="1">
        <v>45694</v>
      </c>
      <c r="B11">
        <v>111.7</v>
      </c>
      <c r="D11">
        <f t="shared" si="0"/>
        <v>-4.8997772828507542E-3</v>
      </c>
      <c r="F11" t="s">
        <v>67</v>
      </c>
      <c r="K11">
        <v>54.24</v>
      </c>
      <c r="N11">
        <f t="shared" si="1"/>
        <v>-2.603699048303099E-2</v>
      </c>
      <c r="Q11" s="29"/>
      <c r="U11">
        <v>169.88</v>
      </c>
      <c r="W11">
        <f t="shared" si="2"/>
        <v>-1.0080997610861944E-2</v>
      </c>
      <c r="Z11" t="s">
        <v>26</v>
      </c>
    </row>
    <row r="12" spans="1:31" x14ac:dyDescent="0.3">
      <c r="A12" s="1">
        <v>45693</v>
      </c>
      <c r="B12">
        <v>112.25</v>
      </c>
      <c r="D12">
        <f t="shared" si="0"/>
        <v>1.4918625678119401E-2</v>
      </c>
      <c r="F12" s="12" t="s">
        <v>48</v>
      </c>
      <c r="G12" s="12"/>
      <c r="H12" s="12"/>
      <c r="I12" s="12"/>
      <c r="K12">
        <v>55.69</v>
      </c>
      <c r="N12">
        <f t="shared" si="1"/>
        <v>-1.1712511091393145E-2</v>
      </c>
      <c r="U12">
        <v>171.61</v>
      </c>
      <c r="W12">
        <f t="shared" si="2"/>
        <v>1.9485534367017172E-2</v>
      </c>
    </row>
    <row r="13" spans="1:31" x14ac:dyDescent="0.3">
      <c r="A13" s="1">
        <v>45692</v>
      </c>
      <c r="B13">
        <v>110.6</v>
      </c>
      <c r="D13">
        <f t="shared" si="0"/>
        <v>2.2559171597633116E-2</v>
      </c>
      <c r="F13" s="12" t="s">
        <v>19</v>
      </c>
      <c r="G13" s="12" t="s">
        <v>20</v>
      </c>
      <c r="H13" s="12" t="s">
        <v>21</v>
      </c>
      <c r="I13" s="12" t="s">
        <v>22</v>
      </c>
      <c r="K13">
        <v>56.35</v>
      </c>
      <c r="N13">
        <f t="shared" si="1"/>
        <v>7.1492403932081955E-3</v>
      </c>
      <c r="U13">
        <v>168.33</v>
      </c>
      <c r="W13">
        <f t="shared" si="2"/>
        <v>-1.1867323325223322E-3</v>
      </c>
      <c r="Z13" s="12" t="s">
        <v>27</v>
      </c>
      <c r="AA13" s="12" t="s">
        <v>30</v>
      </c>
      <c r="AB13" s="12" t="s">
        <v>31</v>
      </c>
      <c r="AC13" s="12" t="s">
        <v>32</v>
      </c>
      <c r="AD13" s="12" t="s">
        <v>33</v>
      </c>
      <c r="AE13" s="12" t="s">
        <v>34</v>
      </c>
    </row>
    <row r="14" spans="1:31" x14ac:dyDescent="0.3">
      <c r="A14" s="1">
        <v>45691</v>
      </c>
      <c r="B14">
        <v>108.16</v>
      </c>
      <c r="D14">
        <f t="shared" si="0"/>
        <v>4.457652303120261E-3</v>
      </c>
      <c r="F14" s="20">
        <v>0.43990666904815745</v>
      </c>
      <c r="G14" s="20">
        <v>0.43137522174125897</v>
      </c>
      <c r="H14" s="20">
        <v>0.12871810921058299</v>
      </c>
      <c r="I14" s="20">
        <f>F14+G14+H14</f>
        <v>0.99999999999999944</v>
      </c>
      <c r="K14">
        <v>55.95</v>
      </c>
      <c r="N14">
        <f t="shared" si="1"/>
        <v>-9.3838526912180253E-3</v>
      </c>
      <c r="U14">
        <v>168.53</v>
      </c>
      <c r="W14">
        <f t="shared" si="2"/>
        <v>2.9756591084925312E-3</v>
      </c>
      <c r="Z14" s="12" t="s">
        <v>28</v>
      </c>
      <c r="AA14" s="14">
        <v>0.5320818938822709</v>
      </c>
      <c r="AB14" s="19">
        <v>0.24071440399589469</v>
      </c>
      <c r="AC14" s="21">
        <f>_xlfn.VAR.S(D3:D126)</f>
        <v>2.2979493819357211E-4</v>
      </c>
      <c r="AD14" s="33">
        <f>CORREL(W2:W126,D2:D126)</f>
        <v>0.1104422372177634</v>
      </c>
      <c r="AE14" s="31">
        <v>4.0500000000000001E-2</v>
      </c>
    </row>
    <row r="15" spans="1:31" x14ac:dyDescent="0.3">
      <c r="A15" s="1">
        <v>45688</v>
      </c>
      <c r="B15">
        <v>107.68</v>
      </c>
      <c r="D15">
        <f t="shared" si="0"/>
        <v>-1.2110091743119203E-2</v>
      </c>
      <c r="F15" s="12" t="s">
        <v>9</v>
      </c>
      <c r="G15" s="12" t="s">
        <v>12</v>
      </c>
      <c r="H15" s="12" t="s">
        <v>13</v>
      </c>
      <c r="I15" s="12"/>
      <c r="K15">
        <v>56.48</v>
      </c>
      <c r="N15">
        <f t="shared" si="1"/>
        <v>-5.9838085181274803E-3</v>
      </c>
      <c r="U15">
        <v>168.03</v>
      </c>
      <c r="W15">
        <f t="shared" si="2"/>
        <v>-4.6908678389109525E-2</v>
      </c>
      <c r="Z15" s="12" t="s">
        <v>29</v>
      </c>
      <c r="AA15" s="13">
        <v>4.7120663797778981</v>
      </c>
      <c r="AB15" s="13">
        <v>0.75508872872781629</v>
      </c>
      <c r="AC15" s="12">
        <f>_xlfn.VAR.S(W2:W126)</f>
        <v>2.2625356676658323E-3</v>
      </c>
      <c r="AD15" s="34"/>
      <c r="AE15" s="31"/>
    </row>
    <row r="16" spans="1:31" x14ac:dyDescent="0.3">
      <c r="A16" s="1">
        <v>45687</v>
      </c>
      <c r="B16">
        <v>109</v>
      </c>
      <c r="D16">
        <f t="shared" si="0"/>
        <v>3.8681156750782989E-3</v>
      </c>
      <c r="F16" t="s">
        <v>23</v>
      </c>
      <c r="K16">
        <v>56.82</v>
      </c>
      <c r="N16">
        <f t="shared" si="1"/>
        <v>-1.4059753954305501E-3</v>
      </c>
      <c r="U16">
        <v>176.3</v>
      </c>
      <c r="W16">
        <f t="shared" si="2"/>
        <v>0.13588042007602605</v>
      </c>
    </row>
    <row r="17" spans="1:29" x14ac:dyDescent="0.3">
      <c r="A17" s="1">
        <v>45686</v>
      </c>
      <c r="B17">
        <v>108.58</v>
      </c>
      <c r="D17">
        <f t="shared" si="0"/>
        <v>8.1366397769146517E-2</v>
      </c>
      <c r="F17" s="6">
        <f>F14^2*F8+G14^2*G9+H14^2*H10+2*F14*G14*G8+2*F14*H14*H8+2*G14*H14*H9</f>
        <v>2.5620789105532371E-4</v>
      </c>
      <c r="K17">
        <v>56.9</v>
      </c>
      <c r="N17">
        <f t="shared" si="1"/>
        <v>-7.5004360718646385E-3</v>
      </c>
      <c r="Q17" s="23"/>
      <c r="U17">
        <v>155.21</v>
      </c>
      <c r="W17">
        <f t="shared" si="2"/>
        <v>3.7222667735899641E-2</v>
      </c>
    </row>
    <row r="18" spans="1:29" x14ac:dyDescent="0.3">
      <c r="A18" s="1">
        <v>45685</v>
      </c>
      <c r="B18">
        <v>100.41</v>
      </c>
      <c r="D18">
        <f t="shared" si="0"/>
        <v>3.8992201559688122E-3</v>
      </c>
      <c r="F18" t="s">
        <v>15</v>
      </c>
      <c r="K18">
        <v>57.33</v>
      </c>
      <c r="N18">
        <f t="shared" si="1"/>
        <v>2.0106761565836215E-2</v>
      </c>
      <c r="U18">
        <v>149.63999999999999</v>
      </c>
      <c r="W18">
        <f t="shared" si="2"/>
        <v>9.1625328275459383E-2</v>
      </c>
    </row>
    <row r="19" spans="1:29" x14ac:dyDescent="0.3">
      <c r="A19" s="1">
        <v>45684</v>
      </c>
      <c r="B19">
        <v>100.02</v>
      </c>
      <c r="D19">
        <f t="shared" si="0"/>
        <v>1.2245724116992143E-2</v>
      </c>
      <c r="E19" t="s">
        <v>9</v>
      </c>
      <c r="F19" s="9">
        <f>F2*SQRT(252)</f>
        <v>0.24071440399589469</v>
      </c>
      <c r="K19">
        <v>56.2</v>
      </c>
      <c r="N19">
        <f t="shared" si="1"/>
        <v>3.0247479376718713E-2</v>
      </c>
      <c r="U19">
        <v>137.08000000000001</v>
      </c>
      <c r="W19">
        <f t="shared" si="2"/>
        <v>-0.28271675998116269</v>
      </c>
      <c r="Z19" s="12"/>
      <c r="AA19" s="32" t="s">
        <v>45</v>
      </c>
      <c r="AB19" s="32"/>
    </row>
    <row r="20" spans="1:29" x14ac:dyDescent="0.3">
      <c r="A20" s="1">
        <v>45681</v>
      </c>
      <c r="B20">
        <v>98.81</v>
      </c>
      <c r="D20">
        <f t="shared" si="0"/>
        <v>8.3682008368201593E-3</v>
      </c>
      <c r="E20" t="s">
        <v>12</v>
      </c>
      <c r="F20" s="9">
        <f>P2*SQRT(252)</f>
        <v>0.44624617695978164</v>
      </c>
      <c r="K20">
        <v>54.55</v>
      </c>
      <c r="N20">
        <f t="shared" si="1"/>
        <v>1.3563730955035245E-2</v>
      </c>
      <c r="U20">
        <v>191.11</v>
      </c>
      <c r="W20">
        <f t="shared" si="2"/>
        <v>-4.0648288081712065E-3</v>
      </c>
      <c r="Z20" s="12" t="s">
        <v>35</v>
      </c>
      <c r="AA20" s="28">
        <f>_xlfn.COVARIANCE.S(W3:W126,D3:D126)</f>
        <v>8.2090560716384004E-5</v>
      </c>
    </row>
    <row r="21" spans="1:29" x14ac:dyDescent="0.3">
      <c r="A21" s="1">
        <v>45680</v>
      </c>
      <c r="B21">
        <v>97.99</v>
      </c>
      <c r="D21">
        <f t="shared" si="0"/>
        <v>2.6603908728127586E-3</v>
      </c>
      <c r="E21" t="s">
        <v>13</v>
      </c>
      <c r="F21" s="9">
        <f>Y2*SQRT(252)</f>
        <v>0.75508872872781629</v>
      </c>
      <c r="K21">
        <v>53.82</v>
      </c>
      <c r="N21">
        <f t="shared" si="1"/>
        <v>1.5663332704283793E-2</v>
      </c>
      <c r="U21">
        <v>191.89</v>
      </c>
      <c r="W21">
        <f t="shared" si="2"/>
        <v>2.691854864604502E-2</v>
      </c>
      <c r="Z21" s="12" t="s">
        <v>37</v>
      </c>
      <c r="AA21" s="13">
        <f>(AB15^2-AA20)/(AB14^2+AB15^2-2*AA20)</f>
        <v>0.90785505510724773</v>
      </c>
    </row>
    <row r="22" spans="1:29" x14ac:dyDescent="0.3">
      <c r="A22" s="1">
        <v>45679</v>
      </c>
      <c r="B22">
        <v>97.73</v>
      </c>
      <c r="D22">
        <f t="shared" si="0"/>
        <v>-2.5515411308430292E-3</v>
      </c>
      <c r="K22">
        <v>52.99</v>
      </c>
      <c r="N22">
        <f t="shared" si="1"/>
        <v>-3.0103480714957025E-3</v>
      </c>
      <c r="U22">
        <v>186.86</v>
      </c>
      <c r="W22">
        <f t="shared" si="2"/>
        <v>8.1467493930402982E-3</v>
      </c>
      <c r="Z22" s="12" t="s">
        <v>36</v>
      </c>
      <c r="AA22" s="13">
        <f>1-AA21</f>
        <v>9.2144944892752267E-2</v>
      </c>
    </row>
    <row r="23" spans="1:29" x14ac:dyDescent="0.3">
      <c r="A23" s="1">
        <v>45678</v>
      </c>
      <c r="B23">
        <v>97.98</v>
      </c>
      <c r="D23">
        <f t="shared" si="0"/>
        <v>2.9959003468937335E-2</v>
      </c>
      <c r="F23" t="s">
        <v>16</v>
      </c>
      <c r="K23">
        <v>53.15</v>
      </c>
      <c r="N23">
        <f t="shared" si="1"/>
        <v>1.0072215887495271E-2</v>
      </c>
      <c r="U23">
        <v>185.35</v>
      </c>
      <c r="W23">
        <f t="shared" si="2"/>
        <v>8.4806274142572746E-2</v>
      </c>
    </row>
    <row r="24" spans="1:29" x14ac:dyDescent="0.3">
      <c r="A24" s="1">
        <v>45674</v>
      </c>
      <c r="B24">
        <v>95.13</v>
      </c>
      <c r="D24">
        <f t="shared" si="0"/>
        <v>7.4128984432912061E-3</v>
      </c>
      <c r="F24" s="27">
        <v>2.2822109288896965E-4</v>
      </c>
      <c r="K24">
        <v>52.62</v>
      </c>
      <c r="N24">
        <f t="shared" si="1"/>
        <v>1.2702078521939887E-2</v>
      </c>
      <c r="U24">
        <v>170.86</v>
      </c>
      <c r="W24">
        <f t="shared" si="2"/>
        <v>-1.8045977011494175E-2</v>
      </c>
    </row>
    <row r="25" spans="1:29" x14ac:dyDescent="0.3">
      <c r="A25" s="1">
        <v>45673</v>
      </c>
      <c r="B25">
        <v>94.43</v>
      </c>
      <c r="D25">
        <f t="shared" si="0"/>
        <v>1.4503652771809289E-2</v>
      </c>
      <c r="K25">
        <v>51.96</v>
      </c>
      <c r="N25">
        <f t="shared" si="1"/>
        <v>-3.4522439585730671E-3</v>
      </c>
      <c r="U25">
        <v>174</v>
      </c>
      <c r="W25">
        <f t="shared" si="2"/>
        <v>2.8551161553467003E-2</v>
      </c>
      <c r="Z25" s="12" t="s">
        <v>38</v>
      </c>
      <c r="AA25" s="15">
        <f>SUMPRODUCT(AA21:AA22,AA14:AA15)</f>
        <v>0.91724633398768285</v>
      </c>
    </row>
    <row r="26" spans="1:29" x14ac:dyDescent="0.3">
      <c r="A26" s="1">
        <v>45672</v>
      </c>
      <c r="B26">
        <v>93.08</v>
      </c>
      <c r="D26">
        <f t="shared" si="0"/>
        <v>1.0744600838084363E-4</v>
      </c>
      <c r="F26" t="s">
        <v>17</v>
      </c>
      <c r="K26">
        <v>52.14</v>
      </c>
      <c r="N26">
        <f t="shared" si="1"/>
        <v>1.1052937754508441E-2</v>
      </c>
      <c r="U26">
        <v>169.17</v>
      </c>
      <c r="W26">
        <f t="shared" si="2"/>
        <v>-7.8587766113424641E-3</v>
      </c>
      <c r="Z26" s="12" t="s">
        <v>39</v>
      </c>
      <c r="AA26" s="16">
        <f>SQRT(AA21^2*AB14^2+AA22^2*AB15^2+2*AA21*AA22*AA20)</f>
        <v>0.22937261144934365</v>
      </c>
    </row>
    <row r="27" spans="1:29" x14ac:dyDescent="0.3">
      <c r="A27" s="1">
        <v>45671</v>
      </c>
      <c r="B27">
        <v>93.07</v>
      </c>
      <c r="D27">
        <f t="shared" si="0"/>
        <v>-4.7053791038392887E-3</v>
      </c>
      <c r="F27">
        <v>7.9022083512389181E-4</v>
      </c>
      <c r="K27">
        <v>51.57</v>
      </c>
      <c r="N27">
        <f t="shared" si="1"/>
        <v>9.7049689440988269E-4</v>
      </c>
      <c r="U27">
        <v>170.51</v>
      </c>
      <c r="W27">
        <f t="shared" si="2"/>
        <v>5.1686917905384544E-2</v>
      </c>
      <c r="Z27" s="12" t="s">
        <v>40</v>
      </c>
      <c r="AA27" s="26">
        <f>(AA25-AE14)/AA26</f>
        <v>3.8223671450909475</v>
      </c>
    </row>
    <row r="28" spans="1:29" x14ac:dyDescent="0.3">
      <c r="A28" s="1">
        <v>45670</v>
      </c>
      <c r="B28">
        <v>93.51</v>
      </c>
      <c r="D28">
        <f t="shared" si="0"/>
        <v>1.3658536585365909E-2</v>
      </c>
      <c r="K28">
        <v>51.52</v>
      </c>
      <c r="N28">
        <f t="shared" si="1"/>
        <v>7.3109768798167163E-2</v>
      </c>
      <c r="Q28" t="s">
        <v>49</v>
      </c>
      <c r="S28" t="s">
        <v>50</v>
      </c>
      <c r="U28">
        <v>162.13</v>
      </c>
      <c r="W28">
        <f t="shared" si="2"/>
        <v>-2.7589515983926075E-2</v>
      </c>
      <c r="Z28" s="12" t="s">
        <v>52</v>
      </c>
      <c r="AA28" s="12">
        <v>20</v>
      </c>
    </row>
    <row r="29" spans="1:29" x14ac:dyDescent="0.3">
      <c r="A29" s="1">
        <v>45667</v>
      </c>
      <c r="B29">
        <v>92.25</v>
      </c>
      <c r="D29">
        <f t="shared" si="0"/>
        <v>-3.7796976241900038E-3</v>
      </c>
      <c r="F29" t="s">
        <v>18</v>
      </c>
      <c r="K29">
        <v>48.01</v>
      </c>
      <c r="N29">
        <f t="shared" si="1"/>
        <v>4.346881112801565E-2</v>
      </c>
      <c r="P29" t="s">
        <v>9</v>
      </c>
      <c r="Q29" s="9" cm="1">
        <f t="array" ref="Q29">AnnualizedVolatility(F2)</f>
        <v>0.24071440399589469</v>
      </c>
      <c r="U29">
        <v>166.73</v>
      </c>
      <c r="W29">
        <f t="shared" si="2"/>
        <v>3.6813630993097368E-2</v>
      </c>
      <c r="AC29" t="s">
        <v>62</v>
      </c>
    </row>
    <row r="30" spans="1:29" x14ac:dyDescent="0.3">
      <c r="A30" s="1">
        <v>45665</v>
      </c>
      <c r="B30">
        <v>92.6</v>
      </c>
      <c r="D30">
        <f t="shared" si="0"/>
        <v>-2.5850926324860954E-3</v>
      </c>
      <c r="F30">
        <v>2.2625356676658323E-3</v>
      </c>
      <c r="K30">
        <v>46.01</v>
      </c>
      <c r="N30">
        <f t="shared" si="1"/>
        <v>5.0240279598077076E-3</v>
      </c>
      <c r="P30" t="s">
        <v>12</v>
      </c>
      <c r="Q30" s="9" cm="1">
        <f t="array" ref="Q30">AnnualizedVolatility(P2)</f>
        <v>0.44624617695978164</v>
      </c>
      <c r="U30">
        <v>160.81</v>
      </c>
      <c r="W30">
        <f t="shared" si="2"/>
        <v>-1.5669951643508612E-2</v>
      </c>
      <c r="Z30" s="12" t="s">
        <v>41</v>
      </c>
      <c r="AA30" s="25">
        <f>(AA25 - AE14) / ( AA28*(AA26)^2)</f>
        <v>0.83322222320669426</v>
      </c>
      <c r="AC30" t="s">
        <v>63</v>
      </c>
    </row>
    <row r="31" spans="1:29" x14ac:dyDescent="0.3">
      <c r="A31" s="1">
        <v>45664</v>
      </c>
      <c r="B31">
        <v>92.84</v>
      </c>
      <c r="D31">
        <f t="shared" si="0"/>
        <v>-3.1139267690324501E-3</v>
      </c>
      <c r="F31" t="s">
        <v>24</v>
      </c>
      <c r="K31">
        <v>45.78</v>
      </c>
      <c r="N31">
        <f t="shared" si="1"/>
        <v>-8.7298123090351701E-4</v>
      </c>
      <c r="P31" t="s">
        <v>13</v>
      </c>
      <c r="Q31" s="9" cm="1">
        <f t="array" ref="Q31">AnnualizedVolatility(Y2)</f>
        <v>0.75508872872781629</v>
      </c>
      <c r="U31">
        <v>163.37</v>
      </c>
      <c r="W31">
        <f t="shared" si="2"/>
        <v>-3.53766392192732E-3</v>
      </c>
      <c r="Z31" s="12" t="s">
        <v>42</v>
      </c>
      <c r="AA31" s="14">
        <f>(AA30*AA25)+((1-AA30)*AE14)</f>
        <v>0.77102452959353596</v>
      </c>
    </row>
    <row r="32" spans="1:29" x14ac:dyDescent="0.3">
      <c r="A32" s="1">
        <v>45663</v>
      </c>
      <c r="B32">
        <v>93.13</v>
      </c>
      <c r="D32">
        <f t="shared" si="0"/>
        <v>5.9408079498811531E-3</v>
      </c>
      <c r="F32" s="3">
        <v>4.0500000000000001E-2</v>
      </c>
      <c r="K32">
        <v>45.82</v>
      </c>
      <c r="N32">
        <f t="shared" si="1"/>
        <v>1.0924186148131342E-3</v>
      </c>
      <c r="U32">
        <v>163.95</v>
      </c>
      <c r="W32">
        <f t="shared" si="2"/>
        <v>9.7930524759791502E-3</v>
      </c>
      <c r="Z32" s="12" t="s">
        <v>51</v>
      </c>
      <c r="AA32" s="14">
        <f>AA30*AA26</f>
        <v>0.19111835725454737</v>
      </c>
    </row>
    <row r="33" spans="1:29" x14ac:dyDescent="0.3">
      <c r="A33" s="1">
        <v>45660</v>
      </c>
      <c r="B33">
        <v>92.58</v>
      </c>
      <c r="D33">
        <f t="shared" si="0"/>
        <v>4.4483020505587129E-3</v>
      </c>
      <c r="F33" t="s">
        <v>25</v>
      </c>
      <c r="K33">
        <v>45.77</v>
      </c>
      <c r="N33">
        <f t="shared" si="1"/>
        <v>3.505201266395306E-2</v>
      </c>
      <c r="U33">
        <v>162.36000000000001</v>
      </c>
      <c r="W33">
        <f t="shared" si="2"/>
        <v>8.4859013764533059E-2</v>
      </c>
      <c r="Z33" s="12" t="s">
        <v>61</v>
      </c>
      <c r="AA33" s="20">
        <f>1-AA30</f>
        <v>0.16677777679330574</v>
      </c>
      <c r="AC33" t="s">
        <v>64</v>
      </c>
    </row>
    <row r="34" spans="1:29" x14ac:dyDescent="0.3">
      <c r="A34" s="1">
        <v>45659</v>
      </c>
      <c r="B34">
        <v>92.17</v>
      </c>
      <c r="D34">
        <f t="shared" si="0"/>
        <v>1.0082191780821936E-2</v>
      </c>
      <c r="K34">
        <v>44.22</v>
      </c>
      <c r="N34">
        <f t="shared" si="1"/>
        <v>-1.4925373134328396E-2</v>
      </c>
      <c r="Q34" t="s">
        <v>4</v>
      </c>
      <c r="R34" t="s">
        <v>50</v>
      </c>
      <c r="U34">
        <v>149.66</v>
      </c>
      <c r="W34">
        <f t="shared" si="2"/>
        <v>8.5515340538188087E-2</v>
      </c>
      <c r="Z34" s="12" t="s">
        <v>57</v>
      </c>
      <c r="AA34" s="13">
        <f>AA21^2*AB14^2+AA22^2*AB15^2+2*AA21*AA22*AD14</f>
        <v>7.1075986368122249E-2</v>
      </c>
      <c r="AC34" s="9">
        <f>0.83*0.9079</f>
        <v>0.75355700000000003</v>
      </c>
    </row>
    <row r="35" spans="1:29" x14ac:dyDescent="0.3">
      <c r="A35" s="1">
        <v>45657</v>
      </c>
      <c r="B35">
        <v>91.25</v>
      </c>
      <c r="D35">
        <f t="shared" si="0"/>
        <v>7.3967763303157616E-3</v>
      </c>
      <c r="K35">
        <v>44.89</v>
      </c>
      <c r="N35">
        <f t="shared" si="1"/>
        <v>2.1620391442876717E-2</v>
      </c>
      <c r="P35" t="s">
        <v>9</v>
      </c>
      <c r="Q35" s="24" cm="1">
        <f t="array" ref="Q35">CAGR(B127,B2,126,252)</f>
        <v>0.10389249814339374</v>
      </c>
      <c r="U35">
        <v>137.87</v>
      </c>
      <c r="W35">
        <f t="shared" si="2"/>
        <v>-1.5846955528588755E-2</v>
      </c>
      <c r="Z35" s="12" t="s">
        <v>58</v>
      </c>
      <c r="AA35" s="13">
        <f>(AA34)^2</f>
        <v>5.0517958382014999E-3</v>
      </c>
      <c r="AC35" t="s">
        <v>65</v>
      </c>
    </row>
    <row r="36" spans="1:29" x14ac:dyDescent="0.3">
      <c r="A36" s="1">
        <v>45656</v>
      </c>
      <c r="B36">
        <v>90.58</v>
      </c>
      <c r="D36">
        <f t="shared" si="0"/>
        <v>-1.8102981029810318E-2</v>
      </c>
      <c r="K36">
        <v>43.94</v>
      </c>
      <c r="N36">
        <f t="shared" si="1"/>
        <v>-1.2362328613171594E-2</v>
      </c>
      <c r="P36" t="s">
        <v>12</v>
      </c>
      <c r="Q36" s="24" cm="1">
        <f t="array" ref="Q36">CAGR(K127,K2,126,252)</f>
        <v>5.1234216817455991E-2</v>
      </c>
      <c r="U36">
        <v>140.09</v>
      </c>
      <c r="W36">
        <f t="shared" si="2"/>
        <v>2.9352806414661837E-3</v>
      </c>
      <c r="Z36" s="12" t="s">
        <v>59</v>
      </c>
      <c r="AA36" s="13">
        <f>AC34*AA14+AC36*AA15+AC38*AE14</f>
        <v>0.76804352597760439</v>
      </c>
      <c r="AC36" s="9">
        <f>0.83*0.0921</f>
        <v>7.6442999999999997E-2</v>
      </c>
    </row>
    <row r="37" spans="1:29" x14ac:dyDescent="0.3">
      <c r="A37" s="1">
        <v>45653</v>
      </c>
      <c r="B37">
        <v>92.25</v>
      </c>
      <c r="D37">
        <f t="shared" si="0"/>
        <v>4.2455911169170541E-3</v>
      </c>
      <c r="K37">
        <v>44.49</v>
      </c>
      <c r="N37">
        <f t="shared" si="1"/>
        <v>-9.5725734639358802E-3</v>
      </c>
      <c r="P37" t="s">
        <v>13</v>
      </c>
      <c r="Q37" s="24" cm="1">
        <f t="array" ref="Q37">CAGR(U127,U2,126,252)</f>
        <v>0.43142249760506579</v>
      </c>
      <c r="U37">
        <v>139.68</v>
      </c>
      <c r="W37">
        <f t="shared" si="2"/>
        <v>-3.0740406633821431E-2</v>
      </c>
      <c r="Z37" s="12" t="s">
        <v>60</v>
      </c>
      <c r="AA37" s="13">
        <f>SQRT(AA35)</f>
        <v>7.1075986368122249E-2</v>
      </c>
      <c r="AC37" t="s">
        <v>66</v>
      </c>
    </row>
    <row r="38" spans="1:29" x14ac:dyDescent="0.3">
      <c r="A38" s="1">
        <v>45652</v>
      </c>
      <c r="B38">
        <v>91.86</v>
      </c>
      <c r="D38">
        <f t="shared" si="0"/>
        <v>2.1688355021688387E-2</v>
      </c>
      <c r="K38">
        <v>44.92</v>
      </c>
      <c r="N38">
        <f t="shared" si="1"/>
        <v>1.5141242937853145E-2</v>
      </c>
      <c r="U38">
        <v>144.11000000000001</v>
      </c>
      <c r="W38">
        <f t="shared" si="2"/>
        <v>5.2315848214285711E-3</v>
      </c>
      <c r="AA38" s="3"/>
      <c r="AC38" s="5">
        <v>0.17</v>
      </c>
    </row>
    <row r="39" spans="1:29" x14ac:dyDescent="0.3">
      <c r="A39" s="1">
        <v>45650</v>
      </c>
      <c r="B39">
        <v>89.91</v>
      </c>
      <c r="D39">
        <f t="shared" si="0"/>
        <v>2.8247941445562658E-2</v>
      </c>
      <c r="F39" s="10"/>
      <c r="K39">
        <v>44.25</v>
      </c>
      <c r="N39">
        <f t="shared" si="1"/>
        <v>2.492070684186666E-3</v>
      </c>
      <c r="U39">
        <v>143.36000000000001</v>
      </c>
      <c r="W39">
        <f t="shared" si="2"/>
        <v>1.8254137367710928E-2</v>
      </c>
    </row>
    <row r="40" spans="1:29" x14ac:dyDescent="0.3">
      <c r="A40" s="1">
        <v>45649</v>
      </c>
      <c r="B40">
        <v>87.44</v>
      </c>
      <c r="D40">
        <f t="shared" si="0"/>
        <v>-6.0247811754007181E-3</v>
      </c>
      <c r="F40" s="9"/>
      <c r="K40">
        <v>44.14</v>
      </c>
      <c r="N40">
        <f t="shared" si="1"/>
        <v>-4.9594229035166562E-3</v>
      </c>
      <c r="U40">
        <v>140.79</v>
      </c>
      <c r="W40">
        <f t="shared" si="2"/>
        <v>6.0021436227224254E-3</v>
      </c>
      <c r="Z40" s="11">
        <f>_xlfn.VAR.S(D2:D126)</f>
        <v>2.2822109288896965E-4</v>
      </c>
    </row>
    <row r="41" spans="1:29" x14ac:dyDescent="0.3">
      <c r="A41" s="1">
        <v>45646</v>
      </c>
      <c r="B41">
        <v>87.97</v>
      </c>
      <c r="D41">
        <f t="shared" si="0"/>
        <v>-8.9004055881028183E-3</v>
      </c>
      <c r="K41">
        <v>44.36</v>
      </c>
      <c r="N41">
        <f t="shared" si="1"/>
        <v>1.3248058474189087E-2</v>
      </c>
      <c r="U41">
        <v>139.94999999999999</v>
      </c>
      <c r="W41">
        <f t="shared" si="2"/>
        <v>2.0043731778425656E-2</v>
      </c>
      <c r="Z41" s="12" t="s">
        <v>44</v>
      </c>
    </row>
    <row r="42" spans="1:29" x14ac:dyDescent="0.3">
      <c r="A42" s="1">
        <v>45645</v>
      </c>
      <c r="B42">
        <v>88.76</v>
      </c>
      <c r="D42">
        <f t="shared" si="0"/>
        <v>-1.2680756395995555E-2</v>
      </c>
      <c r="K42">
        <v>43.78</v>
      </c>
      <c r="N42">
        <f t="shared" si="1"/>
        <v>-3.312720848056537E-2</v>
      </c>
      <c r="U42">
        <v>137.19999999999999</v>
      </c>
      <c r="W42">
        <f t="shared" si="2"/>
        <v>3.2432839190307795E-2</v>
      </c>
      <c r="Z42" s="12" t="s">
        <v>47</v>
      </c>
    </row>
    <row r="43" spans="1:29" x14ac:dyDescent="0.3">
      <c r="A43" s="1">
        <v>45644</v>
      </c>
      <c r="B43">
        <v>89.9</v>
      </c>
      <c r="D43">
        <f t="shared" si="0"/>
        <v>-2.3781083722445407E-2</v>
      </c>
      <c r="K43">
        <v>45.28</v>
      </c>
      <c r="N43">
        <f t="shared" si="1"/>
        <v>2.8156221616712124E-2</v>
      </c>
      <c r="U43">
        <v>132.88999999999999</v>
      </c>
      <c r="W43">
        <f t="shared" si="2"/>
        <v>-4.9223724690563235E-2</v>
      </c>
      <c r="Z43" s="12" t="s">
        <v>54</v>
      </c>
    </row>
    <row r="44" spans="1:29" x14ac:dyDescent="0.3">
      <c r="A44" s="1">
        <v>45643</v>
      </c>
      <c r="B44">
        <v>92.09</v>
      </c>
      <c r="D44">
        <f t="shared" si="0"/>
        <v>-1.1060996563573894E-2</v>
      </c>
      <c r="K44">
        <v>44.04</v>
      </c>
      <c r="N44">
        <f t="shared" si="1"/>
        <v>-5.4935622317596612E-2</v>
      </c>
      <c r="U44">
        <v>139.77000000000001</v>
      </c>
      <c r="W44">
        <f t="shared" si="2"/>
        <v>-3.8257758205463441E-2</v>
      </c>
      <c r="Z44" s="12" t="s">
        <v>53</v>
      </c>
    </row>
    <row r="45" spans="1:29" x14ac:dyDescent="0.3">
      <c r="A45" s="1">
        <v>45642</v>
      </c>
      <c r="B45">
        <v>93.12</v>
      </c>
      <c r="D45">
        <f t="shared" si="0"/>
        <v>-4.4138780537877204E-2</v>
      </c>
      <c r="K45">
        <v>46.6</v>
      </c>
      <c r="N45">
        <f t="shared" si="1"/>
        <v>-5.610694753899121E-2</v>
      </c>
      <c r="U45">
        <v>145.33000000000001</v>
      </c>
      <c r="W45">
        <f t="shared" si="2"/>
        <v>3.0367865277108577E-3</v>
      </c>
      <c r="Z45" s="13">
        <f>(AA14)-AE14</f>
        <v>0.49158189388227091</v>
      </c>
    </row>
    <row r="46" spans="1:29" x14ac:dyDescent="0.3">
      <c r="A46" s="1">
        <v>45639</v>
      </c>
      <c r="B46">
        <v>97.42</v>
      </c>
      <c r="D46">
        <f t="shared" si="0"/>
        <v>-4.0891433244734359E-3</v>
      </c>
      <c r="K46">
        <v>49.37</v>
      </c>
      <c r="N46">
        <f t="shared" si="1"/>
        <v>-4.2355788624445518E-3</v>
      </c>
      <c r="U46">
        <v>144.88999999999999</v>
      </c>
      <c r="W46">
        <f t="shared" si="2"/>
        <v>-1.309622277364393E-3</v>
      </c>
      <c r="Z46" s="13">
        <f>(AA15)-AE14</f>
        <v>4.6715663797778983</v>
      </c>
    </row>
    <row r="47" spans="1:29" x14ac:dyDescent="0.3">
      <c r="A47" s="1">
        <v>45638</v>
      </c>
      <c r="B47">
        <v>97.82</v>
      </c>
      <c r="D47">
        <f t="shared" si="0"/>
        <v>-6.0963218857956565E-3</v>
      </c>
      <c r="K47">
        <v>49.58</v>
      </c>
      <c r="N47">
        <f t="shared" si="1"/>
        <v>-4.2117465224111278E-2</v>
      </c>
      <c r="U47">
        <v>145.08000000000001</v>
      </c>
      <c r="W47">
        <f t="shared" si="2"/>
        <v>-6.3013698630136131E-3</v>
      </c>
    </row>
    <row r="48" spans="1:29" x14ac:dyDescent="0.3">
      <c r="A48" s="1">
        <v>45637</v>
      </c>
      <c r="B48">
        <v>98.42</v>
      </c>
      <c r="D48">
        <f t="shared" si="0"/>
        <v>2.6487367563162705E-3</v>
      </c>
      <c r="K48">
        <v>51.76</v>
      </c>
      <c r="N48">
        <f t="shared" si="1"/>
        <v>-6.1468721668177712E-2</v>
      </c>
      <c r="U48">
        <v>146</v>
      </c>
      <c r="W48">
        <f t="shared" si="2"/>
        <v>3.1656302996042884E-2</v>
      </c>
    </row>
    <row r="49" spans="1:28" x14ac:dyDescent="0.3">
      <c r="A49" s="1">
        <v>45636</v>
      </c>
      <c r="B49">
        <v>98.16</v>
      </c>
      <c r="D49">
        <f t="shared" si="0"/>
        <v>-1.157990131910186E-2</v>
      </c>
      <c r="K49">
        <v>55.15</v>
      </c>
      <c r="N49">
        <f t="shared" si="1"/>
        <v>-1.6408061351881605E-2</v>
      </c>
      <c r="U49">
        <v>141.52000000000001</v>
      </c>
      <c r="W49">
        <f t="shared" si="2"/>
        <v>-4.5782482637718239E-2</v>
      </c>
    </row>
    <row r="50" spans="1:28" x14ac:dyDescent="0.3">
      <c r="A50" s="1">
        <v>45635</v>
      </c>
      <c r="B50">
        <v>99.31</v>
      </c>
      <c r="D50">
        <f t="shared" si="0"/>
        <v>-7.9912096693636712E-3</v>
      </c>
      <c r="K50">
        <v>56.07</v>
      </c>
      <c r="N50">
        <f t="shared" si="1"/>
        <v>1.4107433532284341E-2</v>
      </c>
      <c r="U50">
        <v>148.31</v>
      </c>
      <c r="W50">
        <f t="shared" si="2"/>
        <v>-7.2946618327290838E-2</v>
      </c>
    </row>
    <row r="51" spans="1:28" x14ac:dyDescent="0.3">
      <c r="A51" s="1">
        <v>45632</v>
      </c>
      <c r="B51">
        <v>100.11</v>
      </c>
      <c r="D51">
        <f t="shared" si="0"/>
        <v>8.868285800665076E-3</v>
      </c>
      <c r="K51">
        <v>55.29</v>
      </c>
      <c r="N51">
        <f t="shared" si="1"/>
        <v>-2.7611677805135425E-2</v>
      </c>
      <c r="U51">
        <v>159.97999999999999</v>
      </c>
      <c r="W51">
        <f t="shared" si="2"/>
        <v>-5.594231725509732E-3</v>
      </c>
    </row>
    <row r="52" spans="1:28" x14ac:dyDescent="0.3">
      <c r="A52" s="1">
        <v>45631</v>
      </c>
      <c r="B52">
        <v>99.23</v>
      </c>
      <c r="D52">
        <f t="shared" si="0"/>
        <v>-1.4597815292949342E-2</v>
      </c>
      <c r="K52">
        <v>56.86</v>
      </c>
      <c r="N52">
        <f t="shared" si="1"/>
        <v>-2.04995693367786E-2</v>
      </c>
      <c r="U52">
        <v>160.88</v>
      </c>
      <c r="W52">
        <f t="shared" si="2"/>
        <v>-2.665674787675946E-3</v>
      </c>
      <c r="AA52" s="12" t="s">
        <v>46</v>
      </c>
      <c r="AB52" s="12"/>
    </row>
    <row r="53" spans="1:28" x14ac:dyDescent="0.3">
      <c r="A53" s="1">
        <v>45630</v>
      </c>
      <c r="B53">
        <v>100.7</v>
      </c>
      <c r="D53">
        <f t="shared" si="0"/>
        <v>-8.5655213153489253E-3</v>
      </c>
      <c r="K53">
        <v>58.05</v>
      </c>
      <c r="N53">
        <f t="shared" si="1"/>
        <v>-1.9260010136847451E-2</v>
      </c>
      <c r="U53">
        <v>161.31</v>
      </c>
      <c r="W53">
        <f t="shared" si="2"/>
        <v>4.6380384016606165E-2</v>
      </c>
      <c r="AA53" s="12" t="s">
        <v>9</v>
      </c>
      <c r="AB53" s="12" t="s">
        <v>13</v>
      </c>
    </row>
    <row r="54" spans="1:28" x14ac:dyDescent="0.3">
      <c r="A54" s="1">
        <v>45629</v>
      </c>
      <c r="B54">
        <v>101.57</v>
      </c>
      <c r="D54">
        <f t="shared" si="0"/>
        <v>5.9107477095840858E-4</v>
      </c>
      <c r="K54">
        <v>59.19</v>
      </c>
      <c r="N54">
        <f t="shared" si="1"/>
        <v>1.8618821936357386E-3</v>
      </c>
      <c r="U54">
        <v>154.16</v>
      </c>
      <c r="W54">
        <f t="shared" si="2"/>
        <v>3.2444357926145575E-4</v>
      </c>
      <c r="Z54" s="12" t="s">
        <v>9</v>
      </c>
      <c r="AA54" s="12">
        <v>2.2822109288896965E-4</v>
      </c>
      <c r="AB54" s="12">
        <v>1.6633500000000001E-4</v>
      </c>
    </row>
    <row r="55" spans="1:28" x14ac:dyDescent="0.3">
      <c r="A55" s="1">
        <v>45628</v>
      </c>
      <c r="B55">
        <v>101.51</v>
      </c>
      <c r="D55">
        <f t="shared" si="0"/>
        <v>-9.2719109896543892E-3</v>
      </c>
      <c r="K55">
        <v>59.08</v>
      </c>
      <c r="N55">
        <f t="shared" si="1"/>
        <v>-1.2865497076023445E-2</v>
      </c>
      <c r="U55">
        <v>154.11000000000001</v>
      </c>
      <c r="W55">
        <f t="shared" si="2"/>
        <v>-3.5848348348348283E-2</v>
      </c>
      <c r="Z55" s="12" t="s">
        <v>13</v>
      </c>
      <c r="AA55" s="12">
        <v>7.9361670916009206E-5</v>
      </c>
      <c r="AB55" s="12">
        <v>2.2625356676658323E-3</v>
      </c>
    </row>
    <row r="56" spans="1:28" x14ac:dyDescent="0.3">
      <c r="A56" s="1">
        <v>45625</v>
      </c>
      <c r="B56">
        <v>102.46</v>
      </c>
      <c r="D56">
        <f t="shared" si="0"/>
        <v>9.3586838735098873E-3</v>
      </c>
      <c r="K56">
        <v>59.85</v>
      </c>
      <c r="N56">
        <f t="shared" si="1"/>
        <v>-1.834556370913933E-3</v>
      </c>
      <c r="U56">
        <v>159.84</v>
      </c>
      <c r="W56">
        <f t="shared" si="2"/>
        <v>3.4429200103546422E-2</v>
      </c>
    </row>
    <row r="57" spans="1:28" x14ac:dyDescent="0.3">
      <c r="A57" s="1">
        <v>45623</v>
      </c>
      <c r="B57">
        <v>101.51</v>
      </c>
      <c r="D57">
        <f t="shared" si="0"/>
        <v>8.2439411998410633E-3</v>
      </c>
      <c r="K57">
        <v>59.96</v>
      </c>
      <c r="N57">
        <f t="shared" si="1"/>
        <v>1.6098966276902268E-2</v>
      </c>
      <c r="U57">
        <v>154.52000000000001</v>
      </c>
      <c r="W57">
        <f t="shared" si="2"/>
        <v>-5.0043034550596256E-2</v>
      </c>
    </row>
    <row r="58" spans="1:28" x14ac:dyDescent="0.3">
      <c r="A58" s="1">
        <v>45622</v>
      </c>
      <c r="B58">
        <v>100.68</v>
      </c>
      <c r="D58">
        <f t="shared" si="0"/>
        <v>-1.1390416339355818E-2</v>
      </c>
      <c r="K58">
        <v>59.01</v>
      </c>
      <c r="N58">
        <f t="shared" si="1"/>
        <v>-1.7809587217043947E-2</v>
      </c>
      <c r="U58">
        <v>162.66</v>
      </c>
      <c r="W58">
        <f t="shared" si="2"/>
        <v>5.5274425846633002E-2</v>
      </c>
    </row>
    <row r="59" spans="1:28" x14ac:dyDescent="0.3">
      <c r="A59" s="1">
        <v>45621</v>
      </c>
      <c r="B59">
        <v>101.84</v>
      </c>
      <c r="D59">
        <f t="shared" si="0"/>
        <v>-6.4390243902438691E-3</v>
      </c>
      <c r="K59">
        <v>60.08</v>
      </c>
      <c r="N59">
        <f t="shared" si="1"/>
        <v>3.5683502844337189E-2</v>
      </c>
      <c r="U59">
        <v>154.13999999999999</v>
      </c>
      <c r="W59">
        <f t="shared" si="2"/>
        <v>-4.804841897233203E-2</v>
      </c>
    </row>
    <row r="60" spans="1:28" x14ac:dyDescent="0.3">
      <c r="A60" s="1">
        <v>45618</v>
      </c>
      <c r="B60">
        <v>102.5</v>
      </c>
      <c r="D60">
        <f t="shared" si="0"/>
        <v>2.4385368778732736E-2</v>
      </c>
      <c r="K60">
        <v>58.01</v>
      </c>
      <c r="N60">
        <f t="shared" si="1"/>
        <v>1.5936952714535841E-2</v>
      </c>
      <c r="U60">
        <v>161.91999999999999</v>
      </c>
      <c r="W60">
        <f t="shared" si="2"/>
        <v>-2.8149570854090547E-2</v>
      </c>
    </row>
    <row r="61" spans="1:28" x14ac:dyDescent="0.3">
      <c r="A61" s="1">
        <v>45617</v>
      </c>
      <c r="B61">
        <v>100.06</v>
      </c>
      <c r="D61">
        <f t="shared" si="0"/>
        <v>1.8318746183594515E-2</v>
      </c>
      <c r="K61">
        <v>57.1</v>
      </c>
      <c r="N61">
        <f t="shared" si="1"/>
        <v>4.7510117895478293E-3</v>
      </c>
      <c r="U61">
        <v>166.61</v>
      </c>
      <c r="W61">
        <f t="shared" si="2"/>
        <v>7.7475263532303038E-2</v>
      </c>
    </row>
    <row r="62" spans="1:28" x14ac:dyDescent="0.3">
      <c r="A62" s="1">
        <v>45616</v>
      </c>
      <c r="B62">
        <v>98.26</v>
      </c>
      <c r="D62">
        <f t="shared" si="0"/>
        <v>-9.150991357395954E-4</v>
      </c>
      <c r="K62">
        <v>56.83</v>
      </c>
      <c r="N62">
        <f t="shared" si="1"/>
        <v>1.9006634391249687E-2</v>
      </c>
      <c r="U62">
        <v>154.63</v>
      </c>
      <c r="W62">
        <f t="shared" si="2"/>
        <v>-1.4852124499549152E-3</v>
      </c>
    </row>
    <row r="63" spans="1:28" x14ac:dyDescent="0.3">
      <c r="A63" s="1">
        <v>45615</v>
      </c>
      <c r="B63">
        <v>98.35</v>
      </c>
      <c r="D63">
        <f t="shared" si="0"/>
        <v>-2.0418326693227205E-2</v>
      </c>
      <c r="K63">
        <v>55.77</v>
      </c>
      <c r="N63">
        <f t="shared" si="1"/>
        <v>-4.9955396966992697E-3</v>
      </c>
      <c r="U63">
        <v>154.86000000000001</v>
      </c>
      <c r="W63">
        <f t="shared" si="2"/>
        <v>5.6127668280706665E-2</v>
      </c>
    </row>
    <row r="64" spans="1:28" x14ac:dyDescent="0.3">
      <c r="A64" s="1">
        <v>45614</v>
      </c>
      <c r="B64">
        <v>100.4</v>
      </c>
      <c r="D64">
        <f t="shared" si="0"/>
        <v>2.0117862223125421E-2</v>
      </c>
      <c r="K64">
        <v>56.05</v>
      </c>
      <c r="N64">
        <f t="shared" si="1"/>
        <v>5.3769505546155283E-2</v>
      </c>
      <c r="U64">
        <v>146.63</v>
      </c>
      <c r="W64">
        <f t="shared" si="2"/>
        <v>3.1516004220893352E-2</v>
      </c>
    </row>
    <row r="65" spans="1:27" x14ac:dyDescent="0.3">
      <c r="A65" s="1">
        <v>45611</v>
      </c>
      <c r="B65">
        <v>98.42</v>
      </c>
      <c r="D65">
        <f t="shared" si="0"/>
        <v>-8.1628539756122363E-3</v>
      </c>
      <c r="K65">
        <v>53.19</v>
      </c>
      <c r="N65">
        <f t="shared" si="1"/>
        <v>-3.4489017970593679E-2</v>
      </c>
      <c r="U65">
        <v>142.15</v>
      </c>
      <c r="W65">
        <f t="shared" si="2"/>
        <v>2.6650296114401253E-2</v>
      </c>
    </row>
    <row r="66" spans="1:27" x14ac:dyDescent="0.3">
      <c r="A66" s="1">
        <v>45610</v>
      </c>
      <c r="B66">
        <v>99.23</v>
      </c>
      <c r="D66">
        <f t="shared" si="0"/>
        <v>-5.7114228456913146E-3</v>
      </c>
      <c r="K66">
        <v>55.09</v>
      </c>
      <c r="N66">
        <f t="shared" si="1"/>
        <v>1.5109637000184268E-2</v>
      </c>
      <c r="U66">
        <v>138.46</v>
      </c>
      <c r="W66">
        <f t="shared" si="2"/>
        <v>-2.5752884886011795E-2</v>
      </c>
      <c r="Z66" t="s">
        <v>68</v>
      </c>
    </row>
    <row r="67" spans="1:27" x14ac:dyDescent="0.3">
      <c r="A67" s="1">
        <v>45609</v>
      </c>
      <c r="B67">
        <v>99.8</v>
      </c>
      <c r="D67">
        <f t="shared" ref="D67:D126" si="3">(B67-B68)/B68</f>
        <v>1.0121457489878543E-2</v>
      </c>
      <c r="K67">
        <v>54.27</v>
      </c>
      <c r="N67">
        <f t="shared" ref="N67:N126" si="4">(K67-K68)/K68</f>
        <v>4.4419766796224688E-3</v>
      </c>
      <c r="U67">
        <v>142.12</v>
      </c>
      <c r="W67">
        <f t="shared" ref="W67:W126" si="5">(U67-U68)/U68</f>
        <v>-2.8137310073151408E-4</v>
      </c>
      <c r="Z67" s="9">
        <v>0</v>
      </c>
      <c r="AA67" s="30">
        <f>AE14+((AA31-AE14)/AA32)*Z67</f>
        <v>4.0500000000000001E-2</v>
      </c>
    </row>
    <row r="68" spans="1:27" x14ac:dyDescent="0.3">
      <c r="A68" s="1">
        <v>45608</v>
      </c>
      <c r="B68">
        <v>98.8</v>
      </c>
      <c r="D68">
        <f t="shared" si="3"/>
        <v>-1.5053334662546158E-2</v>
      </c>
      <c r="K68">
        <v>54.03</v>
      </c>
      <c r="N68">
        <f t="shared" si="4"/>
        <v>-3.1893925819745587E-2</v>
      </c>
      <c r="U68">
        <v>142.16</v>
      </c>
      <c r="W68">
        <f t="shared" si="5"/>
        <v>-2.4965706447188027E-2</v>
      </c>
      <c r="Z68" s="9">
        <v>0.05</v>
      </c>
      <c r="AA68" s="30">
        <f>AE14+((AA31-AE14)/AA32)*Z68</f>
        <v>0.23161835725454738</v>
      </c>
    </row>
    <row r="69" spans="1:27" x14ac:dyDescent="0.3">
      <c r="A69" s="1">
        <v>45607</v>
      </c>
      <c r="B69">
        <v>100.31</v>
      </c>
      <c r="D69">
        <f t="shared" si="3"/>
        <v>2.8293182983085651E-2</v>
      </c>
      <c r="K69">
        <v>55.81</v>
      </c>
      <c r="N69">
        <f t="shared" si="4"/>
        <v>4.8613611811307734E-3</v>
      </c>
      <c r="U69">
        <v>145.80000000000001</v>
      </c>
      <c r="W69">
        <f t="shared" si="5"/>
        <v>2.7484143763213571E-2</v>
      </c>
      <c r="Z69" s="9">
        <v>0.1</v>
      </c>
      <c r="AA69" s="30">
        <f>AE14+((AA31-AE14)/AA32)*Z69</f>
        <v>0.42273671450909472</v>
      </c>
    </row>
    <row r="70" spans="1:27" x14ac:dyDescent="0.3">
      <c r="A70" s="1">
        <v>45604</v>
      </c>
      <c r="B70">
        <v>97.55</v>
      </c>
      <c r="D70">
        <f t="shared" si="3"/>
        <v>1.487723678734907E-2</v>
      </c>
      <c r="K70">
        <v>55.54</v>
      </c>
      <c r="N70">
        <f t="shared" si="4"/>
        <v>-2.6809181706676032E-2</v>
      </c>
      <c r="U70">
        <v>141.9</v>
      </c>
      <c r="W70">
        <f t="shared" si="5"/>
        <v>4.5457894349075489E-2</v>
      </c>
      <c r="Z70" s="9">
        <v>0.15</v>
      </c>
      <c r="AA70" s="30">
        <f>AE14+((AA31-AE14)/AA32)*Z70</f>
        <v>0.61385507176364207</v>
      </c>
    </row>
    <row r="71" spans="1:27" x14ac:dyDescent="0.3">
      <c r="A71" s="1">
        <v>45603</v>
      </c>
      <c r="B71">
        <v>96.12</v>
      </c>
      <c r="D71">
        <f t="shared" si="3"/>
        <v>4.1631973355543559E-4</v>
      </c>
      <c r="K71">
        <v>57.07</v>
      </c>
      <c r="N71">
        <f t="shared" si="4"/>
        <v>-7.3689336146729414E-2</v>
      </c>
      <c r="U71">
        <v>135.72999999999999</v>
      </c>
      <c r="W71">
        <f t="shared" si="5"/>
        <v>7.6453326988658782E-2</v>
      </c>
      <c r="Z71" s="9">
        <v>0.2</v>
      </c>
      <c r="AA71" s="30">
        <f>AE14+((AA31-AE14)/AA32)*Z71</f>
        <v>0.80497342901818947</v>
      </c>
    </row>
    <row r="72" spans="1:27" x14ac:dyDescent="0.3">
      <c r="A72" s="1">
        <v>45602</v>
      </c>
      <c r="B72">
        <v>96.08</v>
      </c>
      <c r="D72">
        <f t="shared" si="3"/>
        <v>-1.0402719126583634E-2</v>
      </c>
      <c r="K72">
        <v>61.61</v>
      </c>
      <c r="N72">
        <f t="shared" si="4"/>
        <v>0.11329960245753516</v>
      </c>
      <c r="U72">
        <v>126.09</v>
      </c>
      <c r="W72">
        <f t="shared" si="5"/>
        <v>3.4372436423297764E-2</v>
      </c>
      <c r="Z72" s="9">
        <v>0.25</v>
      </c>
      <c r="AA72" s="30">
        <f>AE14+((AA31-AE14)/AA32)*Z72</f>
        <v>0.99609178627273676</v>
      </c>
    </row>
    <row r="73" spans="1:27" x14ac:dyDescent="0.3">
      <c r="A73" s="1">
        <v>45601</v>
      </c>
      <c r="B73">
        <v>97.09</v>
      </c>
      <c r="D73">
        <f t="shared" si="3"/>
        <v>6.1836545398332755E-4</v>
      </c>
      <c r="K73">
        <v>55.34</v>
      </c>
      <c r="N73">
        <f t="shared" si="4"/>
        <v>1.2625800548947939E-2</v>
      </c>
      <c r="U73">
        <v>121.9</v>
      </c>
      <c r="W73">
        <f t="shared" si="5"/>
        <v>5.3222740625540096E-2</v>
      </c>
      <c r="Z73" s="9">
        <v>0.3</v>
      </c>
      <c r="AA73" s="30">
        <f>AE14+((AA31-AE14)/AA32)*Z73</f>
        <v>1.1872101435272842</v>
      </c>
    </row>
    <row r="74" spans="1:27" x14ac:dyDescent="0.3">
      <c r="A74" s="1">
        <v>45600</v>
      </c>
      <c r="B74">
        <v>97.03</v>
      </c>
      <c r="D74">
        <f t="shared" si="3"/>
        <v>-1.8610296348740805E-2</v>
      </c>
      <c r="K74">
        <v>54.65</v>
      </c>
      <c r="N74">
        <f t="shared" si="4"/>
        <v>-2.0784805590396051E-2</v>
      </c>
      <c r="U74">
        <v>115.74</v>
      </c>
      <c r="W74">
        <f t="shared" si="5"/>
        <v>-3.1545477365910887E-2</v>
      </c>
    </row>
    <row r="75" spans="1:27" x14ac:dyDescent="0.3">
      <c r="A75" s="1">
        <v>45597</v>
      </c>
      <c r="B75">
        <v>98.87</v>
      </c>
      <c r="D75">
        <f t="shared" si="3"/>
        <v>1.1975435005117725E-2</v>
      </c>
      <c r="K75">
        <v>55.81</v>
      </c>
      <c r="N75">
        <f t="shared" si="4"/>
        <v>-1.1512575274530616E-2</v>
      </c>
      <c r="U75">
        <v>119.51</v>
      </c>
      <c r="W75">
        <f t="shared" si="5"/>
        <v>-4.3613956466069054E-2</v>
      </c>
    </row>
    <row r="76" spans="1:27" x14ac:dyDescent="0.3">
      <c r="A76" s="1">
        <v>45596</v>
      </c>
      <c r="B76">
        <v>97.7</v>
      </c>
      <c r="D76">
        <f t="shared" si="3"/>
        <v>3.9046444718455579E-3</v>
      </c>
      <c r="K76">
        <v>56.46</v>
      </c>
      <c r="N76">
        <f t="shared" si="4"/>
        <v>1.2413548501507409E-3</v>
      </c>
      <c r="U76">
        <v>124.96</v>
      </c>
      <c r="W76">
        <f t="shared" si="5"/>
        <v>6.848763193940813E-3</v>
      </c>
    </row>
    <row r="77" spans="1:27" x14ac:dyDescent="0.3">
      <c r="A77" s="1">
        <v>45595</v>
      </c>
      <c r="B77">
        <v>97.32</v>
      </c>
      <c r="D77">
        <f t="shared" si="3"/>
        <v>-7.1875962624507025E-4</v>
      </c>
      <c r="K77">
        <v>56.39</v>
      </c>
      <c r="N77">
        <f t="shared" si="4"/>
        <v>2.488888888888899E-3</v>
      </c>
      <c r="U77">
        <v>124.11</v>
      </c>
      <c r="W77">
        <f t="shared" si="5"/>
        <v>-2.0132638559924185E-2</v>
      </c>
    </row>
    <row r="78" spans="1:27" x14ac:dyDescent="0.3">
      <c r="A78" s="1">
        <v>45594</v>
      </c>
      <c r="B78">
        <v>97.39</v>
      </c>
      <c r="D78">
        <f t="shared" si="3"/>
        <v>-6.427259742909564E-3</v>
      </c>
      <c r="K78">
        <v>56.25</v>
      </c>
      <c r="N78">
        <f t="shared" si="4"/>
        <v>-1.9351464435146435E-2</v>
      </c>
      <c r="U78">
        <v>126.66</v>
      </c>
      <c r="W78">
        <f t="shared" si="5"/>
        <v>-8.7650649553921156E-3</v>
      </c>
    </row>
    <row r="79" spans="1:27" x14ac:dyDescent="0.3">
      <c r="A79" s="1">
        <v>45593</v>
      </c>
      <c r="B79">
        <v>98.02</v>
      </c>
      <c r="D79">
        <f t="shared" si="3"/>
        <v>7.2962696536840376E-3</v>
      </c>
      <c r="K79">
        <v>57.36</v>
      </c>
      <c r="N79">
        <f t="shared" si="4"/>
        <v>1.5400955921401973E-2</v>
      </c>
      <c r="U79">
        <v>127.78</v>
      </c>
      <c r="W79">
        <f t="shared" si="5"/>
        <v>3.0234620656292833E-2</v>
      </c>
    </row>
    <row r="80" spans="1:27" x14ac:dyDescent="0.3">
      <c r="A80" s="1">
        <v>45590</v>
      </c>
      <c r="B80">
        <v>97.31</v>
      </c>
      <c r="D80">
        <f t="shared" si="3"/>
        <v>1.6469377251672318E-3</v>
      </c>
      <c r="K80">
        <v>56.49</v>
      </c>
      <c r="N80">
        <f t="shared" si="4"/>
        <v>6.5930149679259541E-3</v>
      </c>
      <c r="U80">
        <v>124.03</v>
      </c>
      <c r="W80">
        <f t="shared" si="5"/>
        <v>-1.2342729734034059E-2</v>
      </c>
    </row>
    <row r="81" spans="1:23" x14ac:dyDescent="0.3">
      <c r="A81" s="1">
        <v>45589</v>
      </c>
      <c r="B81">
        <v>97.15</v>
      </c>
      <c r="D81">
        <f t="shared" si="3"/>
        <v>-5.1203277009728623E-3</v>
      </c>
      <c r="K81">
        <v>56.12</v>
      </c>
      <c r="N81">
        <f t="shared" si="4"/>
        <v>-1.1623811201127222E-2</v>
      </c>
      <c r="U81">
        <v>125.58</v>
      </c>
      <c r="W81">
        <f t="shared" si="5"/>
        <v>-4.2026801998255583E-3</v>
      </c>
    </row>
    <row r="82" spans="1:23" x14ac:dyDescent="0.3">
      <c r="A82" s="1">
        <v>45588</v>
      </c>
      <c r="B82">
        <v>97.65</v>
      </c>
      <c r="D82">
        <f t="shared" si="3"/>
        <v>8.5726089650899878E-3</v>
      </c>
      <c r="K82">
        <v>56.78</v>
      </c>
      <c r="N82">
        <f t="shared" si="4"/>
        <v>-1.2313104661389671E-3</v>
      </c>
      <c r="U82">
        <v>126.11</v>
      </c>
      <c r="W82">
        <f t="shared" si="5"/>
        <v>8.55726167626354E-3</v>
      </c>
    </row>
    <row r="83" spans="1:23" x14ac:dyDescent="0.3">
      <c r="A83" s="1">
        <v>45587</v>
      </c>
      <c r="B83">
        <v>96.82</v>
      </c>
      <c r="D83">
        <f t="shared" si="3"/>
        <v>3.8361845515810298E-3</v>
      </c>
      <c r="K83">
        <v>56.85</v>
      </c>
      <c r="N83">
        <f t="shared" si="4"/>
        <v>-2.2692109334708617E-2</v>
      </c>
      <c r="U83">
        <v>125.04</v>
      </c>
      <c r="W83">
        <f t="shared" si="5"/>
        <v>-4.0957202024850356E-2</v>
      </c>
    </row>
    <row r="84" spans="1:23" x14ac:dyDescent="0.3">
      <c r="A84" s="1">
        <v>45586</v>
      </c>
      <c r="B84">
        <v>96.45</v>
      </c>
      <c r="D84">
        <f t="shared" si="3"/>
        <v>-4.0272614622057059E-3</v>
      </c>
      <c r="K84">
        <v>58.17</v>
      </c>
      <c r="N84">
        <f t="shared" si="4"/>
        <v>-3.5962877030162439E-2</v>
      </c>
      <c r="U84">
        <v>130.38</v>
      </c>
      <c r="W84">
        <f t="shared" si="5"/>
        <v>-5.9469350411710973E-3</v>
      </c>
    </row>
    <row r="85" spans="1:23" x14ac:dyDescent="0.3">
      <c r="A85" s="1">
        <v>45583</v>
      </c>
      <c r="B85">
        <v>96.84</v>
      </c>
      <c r="D85">
        <f t="shared" si="3"/>
        <v>1.6479479374409651E-2</v>
      </c>
      <c r="K85">
        <v>60.34</v>
      </c>
      <c r="N85">
        <f t="shared" si="4"/>
        <v>-5.2300926653054788E-2</v>
      </c>
      <c r="U85">
        <v>131.16</v>
      </c>
      <c r="W85">
        <f t="shared" si="5"/>
        <v>3.0564940677300232E-2</v>
      </c>
    </row>
    <row r="86" spans="1:23" x14ac:dyDescent="0.3">
      <c r="A86" s="1">
        <v>45582</v>
      </c>
      <c r="B86">
        <v>95.27</v>
      </c>
      <c r="D86">
        <f t="shared" si="3"/>
        <v>-1.990362455478711E-3</v>
      </c>
      <c r="K86">
        <v>63.67</v>
      </c>
      <c r="N86">
        <f t="shared" si="4"/>
        <v>-2.0762842202399174E-2</v>
      </c>
      <c r="U86">
        <v>127.27</v>
      </c>
      <c r="W86">
        <f t="shared" si="5"/>
        <v>-6.20532095217039E-2</v>
      </c>
    </row>
    <row r="87" spans="1:23" x14ac:dyDescent="0.3">
      <c r="A87" s="1">
        <v>45581</v>
      </c>
      <c r="B87">
        <v>95.46</v>
      </c>
      <c r="D87">
        <f t="shared" si="3"/>
        <v>4.4191919191917872E-3</v>
      </c>
      <c r="K87">
        <v>65.02</v>
      </c>
      <c r="N87">
        <f t="shared" si="4"/>
        <v>3.076923076922465E-4</v>
      </c>
      <c r="U87">
        <v>135.69</v>
      </c>
      <c r="W87">
        <f t="shared" si="5"/>
        <v>5.7681814638709222E-2</v>
      </c>
    </row>
    <row r="88" spans="1:23" x14ac:dyDescent="0.3">
      <c r="A88" s="1">
        <v>45580</v>
      </c>
      <c r="B88">
        <v>95.04</v>
      </c>
      <c r="D88">
        <f t="shared" si="3"/>
        <v>2.9548332629801724E-3</v>
      </c>
      <c r="K88">
        <v>65</v>
      </c>
      <c r="N88">
        <f t="shared" si="4"/>
        <v>-3.6466053957900889E-2</v>
      </c>
      <c r="U88">
        <v>128.29</v>
      </c>
      <c r="W88">
        <f t="shared" si="5"/>
        <v>-3.0016633902918487E-2</v>
      </c>
    </row>
    <row r="89" spans="1:23" x14ac:dyDescent="0.3">
      <c r="A89" s="1">
        <v>45579</v>
      </c>
      <c r="B89">
        <v>94.76</v>
      </c>
      <c r="D89">
        <f t="shared" si="3"/>
        <v>-8.2679225536367567E-3</v>
      </c>
      <c r="K89">
        <v>67.459999999999994</v>
      </c>
      <c r="N89">
        <f t="shared" si="4"/>
        <v>1.2456851268197485E-2</v>
      </c>
      <c r="U89">
        <v>132.26</v>
      </c>
      <c r="W89">
        <f t="shared" si="5"/>
        <v>5.5630936227951025E-2</v>
      </c>
    </row>
    <row r="90" spans="1:23" x14ac:dyDescent="0.3">
      <c r="A90" s="1">
        <v>45576</v>
      </c>
      <c r="B90">
        <v>95.55</v>
      </c>
      <c r="D90">
        <f t="shared" si="3"/>
        <v>1.7788666382616124E-2</v>
      </c>
      <c r="K90">
        <v>66.63</v>
      </c>
      <c r="N90">
        <f t="shared" si="4"/>
        <v>-3.2909498878085099E-3</v>
      </c>
      <c r="U90">
        <v>125.29</v>
      </c>
      <c r="W90">
        <f t="shared" si="5"/>
        <v>9.5076947868826586E-3</v>
      </c>
    </row>
    <row r="91" spans="1:23" x14ac:dyDescent="0.3">
      <c r="A91" s="1">
        <v>45575</v>
      </c>
      <c r="B91">
        <v>93.88</v>
      </c>
      <c r="D91">
        <f t="shared" si="3"/>
        <v>-2.0859407592824366E-2</v>
      </c>
      <c r="K91">
        <v>66.849999999999994</v>
      </c>
      <c r="N91">
        <f t="shared" si="4"/>
        <v>1.3339396695467569E-2</v>
      </c>
      <c r="U91">
        <v>124.11</v>
      </c>
      <c r="W91">
        <f t="shared" si="5"/>
        <v>-5.6369785794819929E-4</v>
      </c>
    </row>
    <row r="92" spans="1:23" x14ac:dyDescent="0.3">
      <c r="A92" s="1">
        <v>45574</v>
      </c>
      <c r="B92">
        <v>95.88</v>
      </c>
      <c r="D92">
        <f t="shared" si="3"/>
        <v>-3.4299968818209989E-3</v>
      </c>
      <c r="K92">
        <v>65.97</v>
      </c>
      <c r="N92">
        <f t="shared" si="4"/>
        <v>1.0622154779968615E-3</v>
      </c>
      <c r="U92">
        <v>124.18</v>
      </c>
      <c r="W92">
        <f t="shared" si="5"/>
        <v>-2.9540481400437538E-2</v>
      </c>
    </row>
    <row r="93" spans="1:23" x14ac:dyDescent="0.3">
      <c r="A93" s="1">
        <v>45573</v>
      </c>
      <c r="B93">
        <v>96.21</v>
      </c>
      <c r="D93">
        <f t="shared" si="3"/>
        <v>1.2488292226037084E-3</v>
      </c>
      <c r="K93">
        <v>65.900000000000006</v>
      </c>
      <c r="N93">
        <f t="shared" si="4"/>
        <v>9.9616858237548764E-3</v>
      </c>
      <c r="U93">
        <v>127.96</v>
      </c>
      <c r="W93">
        <f t="shared" si="5"/>
        <v>-2.5215205302049334E-2</v>
      </c>
    </row>
    <row r="94" spans="1:23" x14ac:dyDescent="0.3">
      <c r="A94" s="1">
        <v>45572</v>
      </c>
      <c r="B94">
        <v>96.09</v>
      </c>
      <c r="D94">
        <f t="shared" si="3"/>
        <v>-5.0735141851314444E-3</v>
      </c>
      <c r="K94">
        <v>65.25</v>
      </c>
      <c r="N94">
        <f t="shared" si="4"/>
        <v>1.0218300046446764E-2</v>
      </c>
      <c r="U94">
        <v>131.27000000000001</v>
      </c>
      <c r="W94">
        <f t="shared" si="5"/>
        <v>-5.1585868073116006E-2</v>
      </c>
    </row>
    <row r="95" spans="1:23" x14ac:dyDescent="0.3">
      <c r="A95" s="1">
        <v>45569</v>
      </c>
      <c r="B95">
        <v>96.58</v>
      </c>
      <c r="D95">
        <f t="shared" si="3"/>
        <v>1.067392214315609E-2</v>
      </c>
      <c r="K95">
        <v>64.59</v>
      </c>
      <c r="N95">
        <f t="shared" si="4"/>
        <v>2.6541640178003839E-2</v>
      </c>
      <c r="U95">
        <v>138.41</v>
      </c>
      <c r="W95">
        <f t="shared" si="5"/>
        <v>4.4998112495281302E-2</v>
      </c>
    </row>
    <row r="96" spans="1:23" x14ac:dyDescent="0.3">
      <c r="A96" s="1">
        <v>45568</v>
      </c>
      <c r="B96">
        <v>95.56</v>
      </c>
      <c r="D96">
        <f t="shared" si="3"/>
        <v>-9.7409326424870227E-3</v>
      </c>
      <c r="K96">
        <v>62.92</v>
      </c>
      <c r="N96">
        <f t="shared" si="4"/>
        <v>1.0925449871465291E-2</v>
      </c>
      <c r="U96">
        <v>132.44999999999999</v>
      </c>
      <c r="W96">
        <f t="shared" si="5"/>
        <v>5.6472840392438252E-2</v>
      </c>
    </row>
    <row r="97" spans="1:41" x14ac:dyDescent="0.3">
      <c r="A97" s="1">
        <v>45567</v>
      </c>
      <c r="B97">
        <v>96.5</v>
      </c>
      <c r="D97">
        <f t="shared" si="3"/>
        <v>-9.5453145848302043E-3</v>
      </c>
      <c r="K97">
        <v>62.24</v>
      </c>
      <c r="N97">
        <f t="shared" si="4"/>
        <v>1.1374715632109244E-2</v>
      </c>
      <c r="U97">
        <v>125.37</v>
      </c>
      <c r="W97">
        <f t="shared" si="5"/>
        <v>2.3011015911872768E-2</v>
      </c>
      <c r="Z97" t="s">
        <v>69</v>
      </c>
      <c r="AO97" t="s">
        <v>78</v>
      </c>
    </row>
    <row r="98" spans="1:41" x14ac:dyDescent="0.3">
      <c r="A98" s="1">
        <v>45566</v>
      </c>
      <c r="B98">
        <v>97.43</v>
      </c>
      <c r="D98">
        <f t="shared" si="3"/>
        <v>-6.1544773822943958E-4</v>
      </c>
      <c r="K98">
        <v>61.54</v>
      </c>
      <c r="N98">
        <f t="shared" si="4"/>
        <v>-2.1310432569974606E-2</v>
      </c>
      <c r="U98">
        <v>122.55</v>
      </c>
      <c r="W98">
        <f t="shared" si="5"/>
        <v>3.3828243630841831E-2</v>
      </c>
      <c r="AA98" t="s">
        <v>36</v>
      </c>
      <c r="AB98" t="s">
        <v>37</v>
      </c>
      <c r="AD98" t="s">
        <v>70</v>
      </c>
      <c r="AG98" t="s">
        <v>71</v>
      </c>
      <c r="AK98" t="s">
        <v>74</v>
      </c>
    </row>
    <row r="99" spans="1:41" x14ac:dyDescent="0.3">
      <c r="A99" s="1">
        <v>45565</v>
      </c>
      <c r="B99">
        <v>97.49</v>
      </c>
      <c r="D99">
        <f t="shared" si="3"/>
        <v>1.3352506162694685E-3</v>
      </c>
      <c r="K99">
        <v>62.88</v>
      </c>
      <c r="N99">
        <f t="shared" si="4"/>
        <v>2.4437927663734114E-2</v>
      </c>
      <c r="U99">
        <v>118.54</v>
      </c>
      <c r="W99">
        <f t="shared" si="5"/>
        <v>6.9656812776079458E-3</v>
      </c>
      <c r="AA99">
        <f>1-AB99</f>
        <v>1.3</v>
      </c>
      <c r="AB99">
        <v>-0.3</v>
      </c>
      <c r="AD99" s="24">
        <f>AA7*AA99+AA8*AB99</f>
        <v>5.9660617255465862</v>
      </c>
      <c r="AG99" s="9">
        <f>((AA99^2*Z106^2)+(AB99^2*Z105^2)+(2*AA99*AB99*AA20))^1/2</f>
        <v>0.48435978384718242</v>
      </c>
      <c r="AK99">
        <f>(AD99-AE14)/AG99</f>
        <v>12.233802068538635</v>
      </c>
    </row>
    <row r="100" spans="1:41" x14ac:dyDescent="0.3">
      <c r="A100" s="1">
        <v>45562</v>
      </c>
      <c r="B100">
        <v>97.36</v>
      </c>
      <c r="D100">
        <f t="shared" si="3"/>
        <v>-1.1285523750897654E-3</v>
      </c>
      <c r="K100">
        <v>61.38</v>
      </c>
      <c r="N100">
        <f t="shared" si="4"/>
        <v>4.0162684290798251E-2</v>
      </c>
      <c r="U100">
        <v>117.72</v>
      </c>
      <c r="W100">
        <f t="shared" si="5"/>
        <v>3.1184302733006326E-2</v>
      </c>
      <c r="AA100">
        <f>1-AB100</f>
        <v>1.2</v>
      </c>
      <c r="AB100">
        <v>-0.2</v>
      </c>
      <c r="AD100" s="24">
        <f>AA100*AA15+AB100*AA14</f>
        <v>5.5480632769570235</v>
      </c>
      <c r="AG100" s="9">
        <f>((AA100^2*Z106^2)+(AB100^2*Z105^2)+(2*AA100*AB100*AA20))^1/2</f>
        <v>0.41165363829253865</v>
      </c>
      <c r="AK100">
        <f>(AD100-AE15)/AG100</f>
        <v>13.477503320435451</v>
      </c>
    </row>
    <row r="101" spans="1:41" x14ac:dyDescent="0.3">
      <c r="A101" s="1">
        <v>45561</v>
      </c>
      <c r="B101">
        <v>97.47</v>
      </c>
      <c r="D101">
        <f t="shared" si="3"/>
        <v>1.9347416858397765E-2</v>
      </c>
      <c r="K101">
        <v>59.01</v>
      </c>
      <c r="N101">
        <f t="shared" si="4"/>
        <v>6.3096862210095059E-3</v>
      </c>
      <c r="U101">
        <v>114.16</v>
      </c>
      <c r="W101">
        <f t="shared" si="5"/>
        <v>-4.1316761840779322E-2</v>
      </c>
      <c r="AA101">
        <f t="shared" ref="AA101:AA110" si="6">1-AB101</f>
        <v>1.1000000000000001</v>
      </c>
      <c r="AB101">
        <v>-0.1</v>
      </c>
      <c r="AD101" s="24">
        <f>AA101*AA15+AB101*AA14</f>
        <v>5.1300648283674608</v>
      </c>
      <c r="AG101" s="9">
        <f>((AA101^2*Z106^2)+(AB101^2*Z105^2)+(2*AA101*AB101*AA20))^1/2</f>
        <v>0.34522687505210958</v>
      </c>
      <c r="AK101">
        <f>(AD101-AE14)/AG101</f>
        <v>14.742666913168991</v>
      </c>
    </row>
    <row r="102" spans="1:41" x14ac:dyDescent="0.3">
      <c r="A102" s="1">
        <v>45560</v>
      </c>
      <c r="B102">
        <v>95.62</v>
      </c>
      <c r="D102">
        <f t="shared" si="3"/>
        <v>1.2387506617257826E-2</v>
      </c>
      <c r="K102">
        <v>58.64</v>
      </c>
      <c r="N102">
        <f t="shared" si="4"/>
        <v>9.6418732782369548E-3</v>
      </c>
      <c r="U102">
        <v>119.08</v>
      </c>
      <c r="W102">
        <f t="shared" si="5"/>
        <v>5.9430604982206335E-2</v>
      </c>
      <c r="AA102">
        <f t="shared" si="6"/>
        <v>1</v>
      </c>
      <c r="AB102">
        <v>0</v>
      </c>
      <c r="AD102" s="24">
        <f>AA102*AA15+AB102*AA14</f>
        <v>4.7120663797778981</v>
      </c>
      <c r="AG102" s="9">
        <f>((AA102^2*Z106^2)+(AB102^2*Z105^2)+(2*AA102*AB102*AA20))^1/2</f>
        <v>0.28507949412589489</v>
      </c>
      <c r="AK102">
        <f>(AD102-AE14)/AG102</f>
        <v>16.386890239516394</v>
      </c>
    </row>
    <row r="103" spans="1:41" x14ac:dyDescent="0.3">
      <c r="A103" s="1">
        <v>45559</v>
      </c>
      <c r="B103">
        <v>94.45</v>
      </c>
      <c r="D103">
        <f t="shared" si="3"/>
        <v>-1.0787599497276928E-2</v>
      </c>
      <c r="K103">
        <v>58.08</v>
      </c>
      <c r="N103">
        <f t="shared" si="4"/>
        <v>8.8587806149035605E-3</v>
      </c>
      <c r="U103">
        <v>112.4</v>
      </c>
      <c r="W103">
        <f t="shared" si="5"/>
        <v>6.8977873331542618E-3</v>
      </c>
      <c r="AA103">
        <f t="shared" si="6"/>
        <v>0.9</v>
      </c>
      <c r="AB103">
        <v>0.1</v>
      </c>
      <c r="AD103" s="35">
        <f>AA103*AA15+AB103*AA14</f>
        <v>4.2940679311883363</v>
      </c>
      <c r="AE103" s="36"/>
      <c r="AF103" s="36"/>
      <c r="AG103" s="37">
        <f>((AA103^2*Z106^2)+(AB103^2*Z105^2)+(2*AA103*AB103*AA20))^1/2</f>
        <v>0.23121149551389486</v>
      </c>
      <c r="AH103" s="36"/>
      <c r="AI103" s="36"/>
      <c r="AJ103" s="36"/>
      <c r="AK103" s="36">
        <f>(AD103-AE14)/AG103</f>
        <v>18.396870457216149</v>
      </c>
    </row>
    <row r="104" spans="1:41" x14ac:dyDescent="0.3">
      <c r="A104" s="1">
        <v>45558</v>
      </c>
      <c r="B104">
        <v>95.48</v>
      </c>
      <c r="D104">
        <f t="shared" si="3"/>
        <v>-5.9344091618947752E-3</v>
      </c>
      <c r="K104">
        <v>57.57</v>
      </c>
      <c r="N104">
        <f t="shared" si="4"/>
        <v>1.0432968179447449E-3</v>
      </c>
      <c r="U104">
        <v>111.63</v>
      </c>
      <c r="W104">
        <f t="shared" si="5"/>
        <v>3.4760845383759738E-2</v>
      </c>
      <c r="Z104" t="s">
        <v>31</v>
      </c>
      <c r="AA104">
        <f t="shared" si="6"/>
        <v>0.8</v>
      </c>
      <c r="AB104">
        <v>0.2</v>
      </c>
      <c r="AD104" s="24">
        <f>AA104*AA15+AB104*AA14</f>
        <v>3.8760694825987727</v>
      </c>
      <c r="AG104" s="9">
        <f>((AA104^2*Z106^2)+(AB104^2*Z105^2)+(2*AA104*AB104*AA20))^1/2</f>
        <v>0.18362287921610937</v>
      </c>
      <c r="AK104">
        <f>(AD104-AE14)/AG104</f>
        <v>20.888298337183873</v>
      </c>
    </row>
    <row r="105" spans="1:41" x14ac:dyDescent="0.3">
      <c r="A105" s="1">
        <v>45555</v>
      </c>
      <c r="B105">
        <v>96.05</v>
      </c>
      <c r="D105">
        <f t="shared" si="3"/>
        <v>-8.7719298245614915E-3</v>
      </c>
      <c r="K105">
        <v>57.51</v>
      </c>
      <c r="N105">
        <f t="shared" si="4"/>
        <v>-1.5239726027397271E-2</v>
      </c>
      <c r="U105">
        <v>107.88</v>
      </c>
      <c r="W105">
        <f t="shared" si="5"/>
        <v>0.16325210265257711</v>
      </c>
      <c r="Y105" t="s">
        <v>72</v>
      </c>
      <c r="Z105">
        <v>0.24071440399589469</v>
      </c>
      <c r="AA105">
        <f t="shared" si="6"/>
        <v>0.7</v>
      </c>
      <c r="AB105">
        <v>0.3</v>
      </c>
      <c r="AD105" s="24">
        <f>AA105*AA15+AB105*AA14</f>
        <v>3.4580710340092096</v>
      </c>
      <c r="AG105" s="9">
        <f>((AA105^2*Z106^2)+(AB105^2*Z105^2)+(2*AA105*AB105*AA20))^1/2</f>
        <v>0.14231364523253837</v>
      </c>
      <c r="AK105">
        <f>(AD105-AE14)/AG105</f>
        <v>24.014359469360436</v>
      </c>
    </row>
    <row r="106" spans="1:41" x14ac:dyDescent="0.3">
      <c r="A106" s="1">
        <v>45554</v>
      </c>
      <c r="B106">
        <v>96.9</v>
      </c>
      <c r="D106">
        <f t="shared" si="3"/>
        <v>8.1148564294631822E-3</v>
      </c>
      <c r="K106">
        <v>58.4</v>
      </c>
      <c r="N106">
        <f t="shared" si="4"/>
        <v>-3.4234851078403158E-4</v>
      </c>
      <c r="U106">
        <v>92.74</v>
      </c>
      <c r="W106">
        <f t="shared" si="5"/>
        <v>1.6997477793617689E-2</v>
      </c>
      <c r="Y106" t="s">
        <v>73</v>
      </c>
      <c r="Z106">
        <v>0.75508872872781629</v>
      </c>
      <c r="AA106">
        <f t="shared" si="6"/>
        <v>0.6</v>
      </c>
      <c r="AB106">
        <v>0.4</v>
      </c>
      <c r="AD106" s="24">
        <f>AA106*AA15+AB106*AA14</f>
        <v>3.0400725854196473</v>
      </c>
      <c r="AG106" s="9">
        <f>((AA106^2*Z106^2)+(AB106^2*Z105^2)+(2*AA106*AB106*AA20))^1/2</f>
        <v>0.10728379356318199</v>
      </c>
      <c r="AK106">
        <f>(AD106-AE14)/AG106</f>
        <v>27.959233037869108</v>
      </c>
    </row>
    <row r="107" spans="1:41" x14ac:dyDescent="0.3">
      <c r="A107" s="1">
        <v>45553</v>
      </c>
      <c r="B107">
        <v>96.12</v>
      </c>
      <c r="D107">
        <f t="shared" si="3"/>
        <v>-3.3181252592284654E-3</v>
      </c>
      <c r="K107">
        <v>58.42</v>
      </c>
      <c r="N107">
        <f t="shared" si="4"/>
        <v>1.0202317136434436E-2</v>
      </c>
      <c r="U107">
        <v>91.19</v>
      </c>
      <c r="W107">
        <f t="shared" si="5"/>
        <v>4.3883708173331914E-4</v>
      </c>
      <c r="AA107">
        <f t="shared" si="6"/>
        <v>0.5</v>
      </c>
      <c r="AB107">
        <v>0.5</v>
      </c>
      <c r="AD107" s="24">
        <f>AA107*AA15+AB107*AA14</f>
        <v>2.6220741368300846</v>
      </c>
      <c r="AG107" s="9">
        <f>((AA107^2*Z106^2)+(AB107^2*Z105^2)+(2*AA107*AB107*AA20))^1/2</f>
        <v>7.853332420804017E-2</v>
      </c>
      <c r="AK107">
        <f>(AD107-AE14)/AG107</f>
        <v>32.872340027162444</v>
      </c>
    </row>
    <row r="108" spans="1:41" x14ac:dyDescent="0.3">
      <c r="A108" s="1">
        <v>45552</v>
      </c>
      <c r="B108">
        <v>96.44</v>
      </c>
      <c r="D108">
        <f t="shared" si="3"/>
        <v>1.3498079119509444E-3</v>
      </c>
      <c r="K108">
        <v>57.83</v>
      </c>
      <c r="N108">
        <f t="shared" si="4"/>
        <v>-9.2513277368511081E-3</v>
      </c>
      <c r="U108">
        <v>91.15</v>
      </c>
      <c r="W108">
        <f t="shared" si="5"/>
        <v>1.9574944071588364E-2</v>
      </c>
      <c r="AA108">
        <f t="shared" si="6"/>
        <v>0.4</v>
      </c>
      <c r="AB108">
        <v>0.6</v>
      </c>
      <c r="AD108" s="24">
        <f>AA108*AA15+AB108*AA14</f>
        <v>2.2040756882405219</v>
      </c>
      <c r="AG108" s="9">
        <f>((AA108^2*Z106^2)+(AB108^2*Z105^2)+(2*AA108*AB108*AA20))^1/2</f>
        <v>5.6062237167112915E-2</v>
      </c>
      <c r="AK108">
        <f>(AD108-AE14)/AG108</f>
        <v>38.592389415200024</v>
      </c>
    </row>
    <row r="109" spans="1:41" x14ac:dyDescent="0.3">
      <c r="A109" s="1">
        <v>45551</v>
      </c>
      <c r="B109">
        <v>96.31</v>
      </c>
      <c r="D109">
        <f t="shared" si="3"/>
        <v>-2.2927868519833531E-2</v>
      </c>
      <c r="K109">
        <v>58.37</v>
      </c>
      <c r="N109">
        <f t="shared" si="4"/>
        <v>6.7264573991031489E-3</v>
      </c>
      <c r="U109">
        <v>89.4</v>
      </c>
      <c r="W109">
        <f t="shared" si="5"/>
        <v>4.5002922267679824E-2</v>
      </c>
      <c r="AA109">
        <f t="shared" si="6"/>
        <v>0.30000000000000004</v>
      </c>
      <c r="AB109">
        <v>0.7</v>
      </c>
      <c r="AD109" s="24">
        <f>AA109*AA15+AB109*AA14</f>
        <v>1.7860772396509592</v>
      </c>
      <c r="AG109" s="9">
        <f>((AA109^2*Z106^2)+(AB109^2*Z105^2)+(2*AA109*AB109*AA20))^1/2</f>
        <v>3.9870532440400196E-2</v>
      </c>
      <c r="AK109">
        <f>(AD109-AE14)/AG109</f>
        <v>43.781136915096539</v>
      </c>
    </row>
    <row r="110" spans="1:41" x14ac:dyDescent="0.3">
      <c r="A110" s="1">
        <v>45548</v>
      </c>
      <c r="B110">
        <v>98.57</v>
      </c>
      <c r="D110">
        <f t="shared" si="3"/>
        <v>-7.151490733279693E-3</v>
      </c>
      <c r="K110">
        <v>57.98</v>
      </c>
      <c r="N110">
        <f t="shared" si="4"/>
        <v>7.8220059099599459E-3</v>
      </c>
      <c r="U110">
        <v>85.55</v>
      </c>
      <c r="W110">
        <f t="shared" si="5"/>
        <v>6.3129116440909641E-2</v>
      </c>
      <c r="AA110">
        <f t="shared" si="6"/>
        <v>0.19999999999999996</v>
      </c>
      <c r="AB110">
        <v>0.8</v>
      </c>
      <c r="AD110" s="24">
        <f>AA110*AA15+AB110*AA14</f>
        <v>1.3680787910613961</v>
      </c>
      <c r="AG110" s="9">
        <f>((AA110^2*Z106^2)+(AB110^2*Z105^2)+(2*AA110*AB110*AA20))^1/2</f>
        <v>2.9958210027902034E-2</v>
      </c>
      <c r="AK110">
        <f>(AD110-AE14)/AG110</f>
        <v>44.314356225720275</v>
      </c>
    </row>
    <row r="111" spans="1:41" x14ac:dyDescent="0.3">
      <c r="A111" s="1">
        <v>45547</v>
      </c>
      <c r="B111">
        <v>99.28</v>
      </c>
      <c r="D111">
        <f t="shared" si="3"/>
        <v>1.0997963340122182E-2</v>
      </c>
      <c r="K111">
        <v>57.53</v>
      </c>
      <c r="N111">
        <f t="shared" si="4"/>
        <v>2.5307431830333304E-2</v>
      </c>
      <c r="U111">
        <v>80.47</v>
      </c>
      <c r="W111">
        <f t="shared" si="5"/>
        <v>5.1211591306519685E-3</v>
      </c>
      <c r="AA111">
        <f>1-AB111</f>
        <v>9.9999999999999978E-2</v>
      </c>
      <c r="AB111">
        <v>0.9</v>
      </c>
      <c r="AD111" s="24">
        <f>AA111*AA15+AB111*AA14</f>
        <v>0.95008034247183359</v>
      </c>
      <c r="AG111" s="9">
        <f>((AA111^2*Z106^2)+(AB111^2*Z105^2)+(2*AA111*AB111*AA20))^1/2</f>
        <v>2.632526992961844E-2</v>
      </c>
      <c r="AK111">
        <f>(AD111-AE14)/AG111</f>
        <v>34.551605544924307</v>
      </c>
    </row>
    <row r="112" spans="1:41" x14ac:dyDescent="0.3">
      <c r="A112" s="1">
        <v>45546</v>
      </c>
      <c r="B112">
        <v>98.2</v>
      </c>
      <c r="D112">
        <f t="shared" si="3"/>
        <v>5.2067709449325039E-2</v>
      </c>
      <c r="K112">
        <v>56.11</v>
      </c>
      <c r="N112">
        <f t="shared" si="4"/>
        <v>-1.4576747453459753E-2</v>
      </c>
      <c r="U112">
        <v>80.06</v>
      </c>
      <c r="W112">
        <f t="shared" si="5"/>
        <v>5.2313354363827606E-2</v>
      </c>
      <c r="AA112">
        <f>1-AB112</f>
        <v>0</v>
      </c>
      <c r="AB112">
        <v>1</v>
      </c>
      <c r="AD112" s="24">
        <f>AA112*AA15+AB112*AA14</f>
        <v>0.5320818938822709</v>
      </c>
      <c r="AG112" s="9">
        <f>((AA112^2*Z106^2)+(AB112^2*Z105^2)+(2*AA112*AB112*AA20))^1/2</f>
        <v>2.8971712145549403E-2</v>
      </c>
      <c r="AK112">
        <f>(AD112-AE14)/AG112</f>
        <v>16.967650769572728</v>
      </c>
    </row>
    <row r="113" spans="1:37" x14ac:dyDescent="0.3">
      <c r="A113" s="1">
        <v>45545</v>
      </c>
      <c r="B113">
        <v>93.34</v>
      </c>
      <c r="D113">
        <f t="shared" si="3"/>
        <v>1.2254636156599172E-2</v>
      </c>
      <c r="K113">
        <v>56.94</v>
      </c>
      <c r="N113">
        <f t="shared" si="4"/>
        <v>8.3230033646183622E-3</v>
      </c>
      <c r="U113">
        <v>76.08</v>
      </c>
      <c r="W113">
        <f t="shared" si="5"/>
        <v>1.5076717811874522E-2</v>
      </c>
      <c r="AA113">
        <f>1-AB113</f>
        <v>-0.10000000000000009</v>
      </c>
      <c r="AB113">
        <v>1.1000000000000001</v>
      </c>
      <c r="AD113" s="24">
        <f>AA113*AA15+AB113*AA14</f>
        <v>0.11408344529270781</v>
      </c>
      <c r="AG113" s="9">
        <f>((AA113^2*Z106^2)+(AB113^2*Z105^2)+(2*AA113*AB113*AA20))^1/2</f>
        <v>3.789753667569494E-2</v>
      </c>
      <c r="AK113">
        <f>(AD113-AE14)/AG113</f>
        <v>1.9416419046544395</v>
      </c>
    </row>
    <row r="114" spans="1:37" x14ac:dyDescent="0.3">
      <c r="A114" s="1">
        <v>45544</v>
      </c>
      <c r="B114">
        <v>92.21</v>
      </c>
      <c r="D114">
        <f t="shared" si="3"/>
        <v>1.162918266593514E-2</v>
      </c>
      <c r="K114">
        <v>56.47</v>
      </c>
      <c r="N114">
        <f t="shared" si="4"/>
        <v>-2.2164502164502185E-2</v>
      </c>
      <c r="U114">
        <v>74.95</v>
      </c>
      <c r="W114">
        <f t="shared" si="5"/>
        <v>1.6960651289009497E-2</v>
      </c>
      <c r="AA114">
        <f>1-AB114</f>
        <v>-0.19999999999999996</v>
      </c>
      <c r="AB114">
        <v>1.2</v>
      </c>
      <c r="AD114" s="24">
        <f>AA114*AA15+AB114*AA14</f>
        <v>-0.30391500329685439</v>
      </c>
      <c r="AG114" s="9">
        <f>((AA114^2*Z106^2)+(AB114^2*Z105^2)+(2*AA114*AB114*AA20))^1/2</f>
        <v>5.3102743520054993E-2</v>
      </c>
      <c r="AK114">
        <f>(AD114-AE14)/AG114</f>
        <v>-6.4858231508656656</v>
      </c>
    </row>
    <row r="115" spans="1:37" x14ac:dyDescent="0.3">
      <c r="A115" s="1">
        <v>45541</v>
      </c>
      <c r="B115">
        <v>91.15</v>
      </c>
      <c r="D115">
        <f t="shared" si="3"/>
        <v>-4.4779379641764587E-3</v>
      </c>
      <c r="K115">
        <v>57.75</v>
      </c>
      <c r="N115">
        <f t="shared" si="4"/>
        <v>-5.5105906664370636E-3</v>
      </c>
      <c r="U115">
        <v>73.7</v>
      </c>
      <c r="W115">
        <f t="shared" si="5"/>
        <v>-2.8089146775682389E-2</v>
      </c>
      <c r="AA115">
        <f t="shared" ref="AA115" si="7">1-AB115</f>
        <v>-0.30000000000000004</v>
      </c>
      <c r="AB115">
        <v>1.3</v>
      </c>
      <c r="AD115" s="24">
        <f>AA115*AA15+AB115*AA14</f>
        <v>-0.72191345188641742</v>
      </c>
      <c r="AG115" s="9">
        <f>((AA115^2*Z106^2)+(AB115^2*Z105^2)+(2*AA115*AB115*AA20))^1/2</f>
        <v>7.4587332678629659E-2</v>
      </c>
      <c r="AK115">
        <f>(AD115-AE14)/AG115</f>
        <v>-10.221755149381549</v>
      </c>
    </row>
    <row r="116" spans="1:37" x14ac:dyDescent="0.3">
      <c r="A116" s="1">
        <v>45540</v>
      </c>
      <c r="B116">
        <v>91.56</v>
      </c>
      <c r="D116">
        <f t="shared" si="3"/>
        <v>-8.3396512509476446E-3</v>
      </c>
      <c r="K116">
        <v>58.07</v>
      </c>
      <c r="N116">
        <f t="shared" si="4"/>
        <v>-2.0741989881956104E-2</v>
      </c>
      <c r="U116">
        <v>75.83</v>
      </c>
      <c r="W116">
        <f t="shared" si="5"/>
        <v>-1.1085028690662604E-2</v>
      </c>
    </row>
    <row r="117" spans="1:37" x14ac:dyDescent="0.3">
      <c r="A117" s="1">
        <v>45539</v>
      </c>
      <c r="B117">
        <v>92.33</v>
      </c>
      <c r="D117">
        <f t="shared" si="3"/>
        <v>-9.1221292122774036E-3</v>
      </c>
      <c r="K117">
        <v>59.3</v>
      </c>
      <c r="N117">
        <f t="shared" si="4"/>
        <v>3.346113628441956E-2</v>
      </c>
      <c r="U117">
        <v>76.680000000000007</v>
      </c>
      <c r="W117">
        <f t="shared" si="5"/>
        <v>1.2410879324003327E-2</v>
      </c>
    </row>
    <row r="118" spans="1:37" x14ac:dyDescent="0.3">
      <c r="A118" s="1">
        <v>45538</v>
      </c>
      <c r="B118">
        <v>93.18</v>
      </c>
      <c r="D118">
        <f t="shared" si="3"/>
        <v>-1.4698107222163333E-2</v>
      </c>
      <c r="K118">
        <v>57.38</v>
      </c>
      <c r="N118">
        <f t="shared" si="4"/>
        <v>2.4458420684835879E-3</v>
      </c>
      <c r="U118">
        <v>75.739999999999995</v>
      </c>
      <c r="W118">
        <f t="shared" si="5"/>
        <v>-0.11342619688633983</v>
      </c>
    </row>
    <row r="119" spans="1:37" x14ac:dyDescent="0.3">
      <c r="A119" s="1">
        <v>45534</v>
      </c>
      <c r="B119">
        <v>94.57</v>
      </c>
      <c r="D119">
        <f t="shared" si="3"/>
        <v>-3.0571368332279808E-3</v>
      </c>
      <c r="K119">
        <v>57.24</v>
      </c>
      <c r="N119">
        <f t="shared" si="4"/>
        <v>4.7393364928910503E-3</v>
      </c>
      <c r="U119">
        <v>85.43</v>
      </c>
      <c r="W119">
        <f t="shared" si="5"/>
        <v>8.9760245659620298E-3</v>
      </c>
    </row>
    <row r="120" spans="1:37" x14ac:dyDescent="0.3">
      <c r="A120" s="1">
        <v>45533</v>
      </c>
      <c r="B120">
        <v>94.86</v>
      </c>
      <c r="D120">
        <f t="shared" si="3"/>
        <v>-4.6169989506820329E-3</v>
      </c>
      <c r="K120">
        <v>56.97</v>
      </c>
      <c r="N120">
        <f t="shared" si="4"/>
        <v>-4.7169811320755262E-3</v>
      </c>
      <c r="U120">
        <v>84.67</v>
      </c>
      <c r="W120">
        <f t="shared" si="5"/>
        <v>2.6303030303030325E-2</v>
      </c>
    </row>
    <row r="121" spans="1:37" x14ac:dyDescent="0.3">
      <c r="A121" s="1">
        <v>45532</v>
      </c>
      <c r="B121">
        <v>95.3</v>
      </c>
      <c r="D121">
        <f t="shared" si="3"/>
        <v>-3.3468559837728167E-2</v>
      </c>
      <c r="K121">
        <v>57.24</v>
      </c>
      <c r="N121">
        <f t="shared" si="4"/>
        <v>-3.828750435085257E-3</v>
      </c>
      <c r="U121">
        <v>82.5</v>
      </c>
      <c r="W121">
        <f t="shared" si="5"/>
        <v>-2.4707412223667138E-2</v>
      </c>
    </row>
    <row r="122" spans="1:37" x14ac:dyDescent="0.3">
      <c r="A122" s="1">
        <v>45531</v>
      </c>
      <c r="B122">
        <v>98.6</v>
      </c>
      <c r="D122">
        <f t="shared" si="3"/>
        <v>3.1057199623549085E-2</v>
      </c>
      <c r="K122">
        <v>57.46</v>
      </c>
      <c r="N122">
        <f t="shared" si="4"/>
        <v>-2.112436115843274E-2</v>
      </c>
      <c r="U122">
        <v>84.59</v>
      </c>
      <c r="W122">
        <f t="shared" si="5"/>
        <v>-3.4165881244108396E-3</v>
      </c>
      <c r="AD122" t="s">
        <v>75</v>
      </c>
    </row>
    <row r="123" spans="1:37" x14ac:dyDescent="0.3">
      <c r="A123" s="1">
        <v>45530</v>
      </c>
      <c r="B123">
        <v>95.63</v>
      </c>
      <c r="D123">
        <f t="shared" si="3"/>
        <v>1.7124016166773021E-2</v>
      </c>
      <c r="K123">
        <v>58.7</v>
      </c>
      <c r="N123">
        <f t="shared" si="4"/>
        <v>-8.5106382978718568E-4</v>
      </c>
      <c r="U123">
        <v>84.88</v>
      </c>
      <c r="W123">
        <f t="shared" si="5"/>
        <v>-1.0376588550775336E-2</v>
      </c>
      <c r="AD123" t="s">
        <v>76</v>
      </c>
      <c r="AE123" t="s">
        <v>10</v>
      </c>
      <c r="AF123" t="s">
        <v>77</v>
      </c>
    </row>
    <row r="124" spans="1:37" x14ac:dyDescent="0.3">
      <c r="A124" s="1">
        <v>45527</v>
      </c>
      <c r="B124">
        <v>94.02</v>
      </c>
      <c r="D124">
        <f t="shared" si="3"/>
        <v>1.7202207075624681E-2</v>
      </c>
      <c r="K124">
        <v>58.75</v>
      </c>
      <c r="N124">
        <f t="shared" si="4"/>
        <v>1.7492206442674022E-2</v>
      </c>
      <c r="U124">
        <v>85.77</v>
      </c>
      <c r="W124">
        <f t="shared" si="5"/>
        <v>2.9651860744297705E-2</v>
      </c>
      <c r="AD124" s="5">
        <v>0</v>
      </c>
      <c r="AE124" s="3">
        <f>(AD124*AD103)+((1-AD124)*AE14)</f>
        <v>4.0500000000000001E-2</v>
      </c>
      <c r="AF124" s="5">
        <f>AD124*AG103</f>
        <v>0</v>
      </c>
    </row>
    <row r="125" spans="1:37" x14ac:dyDescent="0.3">
      <c r="A125" s="1">
        <v>45526</v>
      </c>
      <c r="B125">
        <v>92.43</v>
      </c>
      <c r="D125">
        <f t="shared" si="3"/>
        <v>-3.7723647337787702E-3</v>
      </c>
      <c r="K125">
        <v>57.74</v>
      </c>
      <c r="N125">
        <f t="shared" si="4"/>
        <v>-9.9451303155006568E-3</v>
      </c>
      <c r="U125">
        <v>83.3</v>
      </c>
      <c r="W125">
        <f t="shared" si="5"/>
        <v>1.2396694214875985E-2</v>
      </c>
      <c r="AD125" s="5">
        <v>1</v>
      </c>
      <c r="AE125" s="3">
        <f t="shared" ref="AE125:AE126" si="8">(AD125*AD104)+((1-AD125)*AE15)</f>
        <v>3.8760694825987727</v>
      </c>
      <c r="AF125" s="5">
        <f>AD125*AG103</f>
        <v>0.23121149551389486</v>
      </c>
    </row>
    <row r="126" spans="1:37" x14ac:dyDescent="0.3">
      <c r="A126" s="1">
        <v>45525</v>
      </c>
      <c r="B126">
        <v>92.78</v>
      </c>
      <c r="D126">
        <f t="shared" si="3"/>
        <v>-2.4728523814644015E-3</v>
      </c>
      <c r="K126">
        <v>58.32</v>
      </c>
      <c r="N126">
        <f t="shared" si="4"/>
        <v>-9.847198641765675E-3</v>
      </c>
      <c r="U126">
        <v>82.28</v>
      </c>
      <c r="W126">
        <f t="shared" si="5"/>
        <v>3.3149171270718238E-2</v>
      </c>
      <c r="AD126" s="5">
        <v>2</v>
      </c>
      <c r="AE126" s="3">
        <f t="shared" si="8"/>
        <v>6.9161420680184191</v>
      </c>
      <c r="AF126" s="5">
        <f>AD126*AG103</f>
        <v>0.46242299102778972</v>
      </c>
    </row>
    <row r="127" spans="1:37" x14ac:dyDescent="0.3">
      <c r="A127" s="1">
        <v>45524</v>
      </c>
      <c r="B127" s="22">
        <v>93.01</v>
      </c>
      <c r="K127">
        <v>58.9</v>
      </c>
      <c r="U127">
        <v>79.64</v>
      </c>
    </row>
    <row r="128" spans="1:37" x14ac:dyDescent="0.3">
      <c r="A128" s="7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</sheetData>
  <mergeCells count="3">
    <mergeCell ref="AE14:AE15"/>
    <mergeCell ref="AA19:AB19"/>
    <mergeCell ref="AD14:AD15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8" ma:contentTypeDescription="Create a new document." ma:contentTypeScope="" ma:versionID="ed9e94537f22041af52e659ce63054af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9be0f2ae7c640bfeab463181d026d63f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810DDA-6D2D-420A-A0F9-0904A7FB5DA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4B18E0-93E9-4532-AEA4-0F08BA848746}">
  <ds:schemaRefs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869da506-bace-44af-a899-86cec871751e"/>
    <ds:schemaRef ds:uri="b7be8240-149b-427d-8eba-7bb1ff6225dd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B955333-D808-4DE1-85D8-8135D7233A6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7be8240-149b-427d-8eba-7bb1ff6225dd"/>
    <ds:schemaRef ds:uri="869da506-bace-44af-a899-86cec87175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Teodoro Babarov</dc:creator>
  <cp:keywords/>
  <dc:description/>
  <cp:lastModifiedBy>Teodoro Babarov</cp:lastModifiedBy>
  <cp:revision/>
  <dcterms:created xsi:type="dcterms:W3CDTF">2025-02-21T13:23:58Z</dcterms:created>
  <dcterms:modified xsi:type="dcterms:W3CDTF">2025-03-11T14:41:16Z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